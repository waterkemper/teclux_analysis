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895" windowHeight="12525"/>
  </bookViews>
  <sheets>
    <sheet name="Custo PN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H81" i="1"/>
  <c r="H80"/>
  <c r="H79"/>
  <c r="H78"/>
  <c r="H76"/>
  <c r="H74"/>
  <c r="H72"/>
  <c r="H70"/>
  <c r="H69"/>
  <c r="G69"/>
  <c r="H68"/>
  <c r="G68"/>
  <c r="H67"/>
  <c r="H66"/>
  <c r="G66"/>
  <c r="H65"/>
  <c r="H64"/>
  <c r="G64"/>
  <c r="G62"/>
  <c r="G61"/>
  <c r="G60"/>
  <c r="G59"/>
  <c r="G58"/>
  <c r="G57"/>
  <c r="H54"/>
  <c r="G54"/>
  <c r="H53"/>
  <c r="G53"/>
  <c r="H52"/>
  <c r="H51"/>
  <c r="G51"/>
  <c r="H50"/>
  <c r="H49"/>
  <c r="G49"/>
  <c r="G47"/>
  <c r="G46"/>
  <c r="G45"/>
  <c r="G44"/>
  <c r="G43"/>
  <c r="G42"/>
  <c r="G41"/>
  <c r="G40"/>
  <c r="G39"/>
  <c r="G38"/>
  <c r="G37"/>
  <c r="G36"/>
  <c r="G35"/>
  <c r="G34"/>
  <c r="G33"/>
  <c r="G32"/>
  <c r="G31"/>
  <c r="H28"/>
  <c r="H27"/>
  <c r="H25"/>
  <c r="H23"/>
  <c r="H21"/>
  <c r="H20"/>
  <c r="H19"/>
  <c r="H18"/>
  <c r="H17"/>
  <c r="H16"/>
  <c r="H15"/>
  <c r="H14"/>
  <c r="H13"/>
  <c r="H12"/>
  <c r="H11"/>
  <c r="H10"/>
</calcChain>
</file>

<file path=xl/sharedStrings.xml><?xml version="1.0" encoding="utf-8"?>
<sst xmlns="http://schemas.openxmlformats.org/spreadsheetml/2006/main" count="136" uniqueCount="99">
  <si>
    <t>Kunde         :</t>
  </si>
  <si>
    <t>DENSO MANUFACTURING ARGENTINA S.A.</t>
  </si>
  <si>
    <t>Erstellt  :</t>
  </si>
  <si>
    <t>Typ / Projekt :</t>
  </si>
  <si>
    <t>ZFD 08X33X43 R56 1R 1R8 K - ZFD 08X33X43 R56 1R 1R8 K</t>
  </si>
  <si>
    <t>Nr.       :</t>
  </si>
  <si>
    <t>PN            :</t>
  </si>
  <si>
    <t>Ersteller :</t>
  </si>
  <si>
    <t>TAR / TTL</t>
  </si>
  <si>
    <t>Kundenbedarf / Laufzeit</t>
  </si>
  <si>
    <t>KRAH-ICE</t>
  </si>
  <si>
    <t>Nr.</t>
  </si>
  <si>
    <t>Materialkosten</t>
  </si>
  <si>
    <t>Artikel Descrição matéria-prima</t>
  </si>
  <si>
    <t>Artikel-Nr.</t>
  </si>
  <si>
    <t>ME</t>
  </si>
  <si>
    <t>Menge/%</t>
  </si>
  <si>
    <t>EK-Preis (R$)</t>
  </si>
  <si>
    <t>NTZ</t>
  </si>
  <si>
    <t>MEK (R$/%)</t>
  </si>
  <si>
    <t>MASSA PORCELANA SECA - Masse</t>
  </si>
  <si>
    <t>KP32L043.A</t>
  </si>
  <si>
    <t>MASSA PORCELANA SECA - Transport</t>
  </si>
  <si>
    <t>MASSA PORCELANA SECA - Brennen-Kosten</t>
  </si>
  <si>
    <t>MASSA PORCELANA SECA - Platte Amortisierungskosten</t>
  </si>
  <si>
    <t>TERMOFUSIVEIS 35/35MM</t>
  </si>
  <si>
    <t>MTS-184-10A-L-G</t>
  </si>
  <si>
    <t>CONECTOR TOYOTA COROLA PA6</t>
  </si>
  <si>
    <t>12815KST00AB</t>
  </si>
  <si>
    <t>TERMINAIS/MATRIX ESTAMPADOS/ES</t>
  </si>
  <si>
    <t>12815MTX00AB</t>
  </si>
  <si>
    <t>TERMINAL/MATRIX ESTAMPADO P/</t>
  </si>
  <si>
    <t>12815MTX01AC</t>
  </si>
  <si>
    <t>FIO 0346D010</t>
  </si>
  <si>
    <t>0352D010/0346D010</t>
  </si>
  <si>
    <t>FIO CUPROTHAL BITOLA 0,48MM</t>
  </si>
  <si>
    <t>0468D010/0480D010</t>
  </si>
  <si>
    <t>FIO CUNI 44 BITOLA 0,610MM C/</t>
  </si>
  <si>
    <t>0610D010</t>
  </si>
  <si>
    <t>Verpackung</t>
  </si>
  <si>
    <t>400X235X200</t>
  </si>
  <si>
    <t>Summe Materialeinzelkosten</t>
  </si>
  <si>
    <t>MGK-Satz</t>
  </si>
  <si>
    <t>MGK</t>
  </si>
  <si>
    <t>Importnebenkosten</t>
  </si>
  <si>
    <t>Importnebenkosten-Gemeinkosten</t>
  </si>
  <si>
    <t xml:space="preserve">Fertigungskosten ZFD 08X33X43 555 </t>
  </si>
  <si>
    <t>BT</t>
  </si>
  <si>
    <t>HA</t>
  </si>
  <si>
    <t>Arbeitsgang</t>
  </si>
  <si>
    <t>te (min./%)</t>
  </si>
  <si>
    <t>LK/STD</t>
  </si>
  <si>
    <t>Kalk.-Wert</t>
  </si>
  <si>
    <t>1 SOPO-WAMA</t>
  </si>
  <si>
    <t xml:space="preserve">   </t>
  </si>
  <si>
    <t>2 MOTE-CORO</t>
  </si>
  <si>
    <t>3 BETU-ZFD</t>
  </si>
  <si>
    <t>4 QUEI-150</t>
  </si>
  <si>
    <t>5 BBI-SLIM</t>
  </si>
  <si>
    <t>6 SOAR-SLIM</t>
  </si>
  <si>
    <t>7 PICI-SLIM</t>
  </si>
  <si>
    <t>8 QUEI-CII</t>
  </si>
  <si>
    <t>9 CARI-ZFD</t>
  </si>
  <si>
    <t xml:space="preserve"> g </t>
  </si>
  <si>
    <t>10 ABTE-PRNY</t>
  </si>
  <si>
    <t xml:space="preserve">AG </t>
  </si>
  <si>
    <t>10.1 ABTE-SLIM</t>
  </si>
  <si>
    <t>10.2 PRNY</t>
  </si>
  <si>
    <t>11 SOPO-ZFD</t>
  </si>
  <si>
    <t xml:space="preserve"> G </t>
  </si>
  <si>
    <t>12 CRFI-EMBA</t>
  </si>
  <si>
    <t>12.1 CRFI-ZFD</t>
  </si>
  <si>
    <t>12.2 EMBA</t>
  </si>
  <si>
    <t>13 CRFI-EX</t>
  </si>
  <si>
    <t>Summealfwand</t>
  </si>
  <si>
    <t>Lohnfaktor Produktion</t>
  </si>
  <si>
    <t>Fertigungseinzelkosten</t>
  </si>
  <si>
    <t>FGK-Satz</t>
  </si>
  <si>
    <t>Fertigungsgemeinkosten</t>
  </si>
  <si>
    <t>Fertigungskosten</t>
  </si>
  <si>
    <t>Fertigungskosten KP32 L043.A</t>
  </si>
  <si>
    <t>1 EXTR-ZFD</t>
  </si>
  <si>
    <t>2 SECAR</t>
  </si>
  <si>
    <t>3 ESTU</t>
  </si>
  <si>
    <t>4 COPO-ZFD</t>
  </si>
  <si>
    <t>5 QUEI</t>
  </si>
  <si>
    <t>6 CTRL-PORC</t>
  </si>
  <si>
    <t>Summe Fertigungskosten</t>
  </si>
  <si>
    <t>Herstellkosten</t>
  </si>
  <si>
    <t>Verwaltungskosten - Gemeinkosten-Satz</t>
  </si>
  <si>
    <t>Verwaltungskosten-Gemeinkosten</t>
  </si>
  <si>
    <t>Vertrieskosten-Gemeinkosten-Satz</t>
  </si>
  <si>
    <t>Vertrieskosten-Gemeinkosten</t>
  </si>
  <si>
    <t>Entwicklungskosten-Gemeinkosten-Satz</t>
  </si>
  <si>
    <t>Entwicklungskosten-Gemeinkosten</t>
  </si>
  <si>
    <t>Vertriesfaktoren</t>
  </si>
  <si>
    <t>%</t>
  </si>
  <si>
    <t>Selbstkosten R$/%</t>
  </si>
  <si>
    <t>Selbstkosten €/%</t>
  </si>
</sst>
</file>

<file path=xl/styles.xml><?xml version="1.0" encoding="utf-8"?>
<styleSheet xmlns="http://schemas.openxmlformats.org/spreadsheetml/2006/main">
  <numFmts count="4">
    <numFmt numFmtId="164" formatCode="##0.00%"/>
    <numFmt numFmtId="165" formatCode="##0.00"/>
    <numFmt numFmtId="166" formatCode="###,##0.00"/>
    <numFmt numFmtId="167" formatCode="###,##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C0000"/>
      <name val="Calibri"/>
      <family val="2"/>
      <scheme val="minor"/>
    </font>
    <font>
      <sz val="12"/>
      <color rgb="FFCC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6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BCBC7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0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64"/>
      </bottom>
      <diagonal/>
    </border>
    <border>
      <left/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ck">
        <color indexed="8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ck">
        <color indexed="8"/>
      </bottom>
      <diagonal/>
    </border>
    <border>
      <left/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/>
      <top style="thick">
        <color indexed="8"/>
      </top>
      <bottom style="thin">
        <color indexed="64"/>
      </bottom>
      <diagonal/>
    </border>
    <border>
      <left/>
      <right/>
      <top style="thick">
        <color indexed="8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n">
        <color indexed="64"/>
      </top>
      <bottom style="thick">
        <color indexed="8"/>
      </bottom>
      <diagonal/>
    </border>
    <border>
      <left/>
      <right style="thick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64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n">
        <color indexed="64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 applyAlignment="1"/>
    <xf numFmtId="0" fontId="0" fillId="0" borderId="10" xfId="0" applyBorder="1"/>
    <xf numFmtId="0" fontId="0" fillId="0" borderId="11" xfId="0" applyBorder="1" applyAlignment="1"/>
    <xf numFmtId="0" fontId="1" fillId="0" borderId="5" xfId="0" applyFont="1" applyBorder="1" applyAlignment="1"/>
    <xf numFmtId="0" fontId="1" fillId="0" borderId="1" xfId="0" applyFont="1" applyBorder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/>
    <xf numFmtId="0" fontId="1" fillId="2" borderId="8" xfId="0" applyFont="1" applyFill="1" applyBorder="1"/>
    <xf numFmtId="0" fontId="0" fillId="2" borderId="15" xfId="0" applyFill="1" applyBorder="1"/>
    <xf numFmtId="0" fontId="0" fillId="2" borderId="7" xfId="0" applyFill="1" applyBorder="1"/>
    <xf numFmtId="22" fontId="0" fillId="2" borderId="8" xfId="0" applyNumberFormat="1" applyFill="1" applyBorder="1"/>
    <xf numFmtId="0" fontId="1" fillId="2" borderId="9" xfId="0" applyFont="1" applyFill="1" applyBorder="1" applyAlignment="1"/>
    <xf numFmtId="0" fontId="1" fillId="2" borderId="2" xfId="0" applyFont="1" applyFill="1" applyBorder="1" applyAlignment="1"/>
    <xf numFmtId="0" fontId="1" fillId="2" borderId="1" xfId="0" applyFont="1" applyFill="1" applyBorder="1"/>
    <xf numFmtId="0" fontId="1" fillId="2" borderId="10" xfId="0" applyFont="1" applyFill="1" applyBorder="1"/>
    <xf numFmtId="0" fontId="0" fillId="2" borderId="16" xfId="0" applyFill="1" applyBorder="1"/>
    <xf numFmtId="0" fontId="0" fillId="2" borderId="1" xfId="0" applyFill="1" applyBorder="1"/>
    <xf numFmtId="0" fontId="0" fillId="2" borderId="10" xfId="0" applyFill="1" applyBorder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1" fillId="2" borderId="13" xfId="0" applyFont="1" applyFill="1" applyBorder="1"/>
    <xf numFmtId="0" fontId="1" fillId="2" borderId="14" xfId="0" applyFont="1" applyFill="1" applyBorder="1"/>
    <xf numFmtId="0" fontId="0" fillId="2" borderId="17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3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1" fillId="0" borderId="25" xfId="0" applyFont="1" applyBorder="1" applyAlignment="1"/>
    <xf numFmtId="0" fontId="1" fillId="0" borderId="26" xfId="0" applyFont="1" applyBorder="1" applyAlignment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Fill="1" applyBorder="1"/>
    <xf numFmtId="0" fontId="0" fillId="0" borderId="31" xfId="0" applyBorder="1"/>
    <xf numFmtId="0" fontId="0" fillId="0" borderId="32" xfId="0" applyBorder="1"/>
    <xf numFmtId="0" fontId="0" fillId="3" borderId="32" xfId="0" applyFill="1" applyBorder="1"/>
    <xf numFmtId="0" fontId="0" fillId="0" borderId="33" xfId="0" applyBorder="1"/>
    <xf numFmtId="0" fontId="0" fillId="0" borderId="4" xfId="0" applyBorder="1"/>
    <xf numFmtId="0" fontId="0" fillId="0" borderId="34" xfId="0" applyBorder="1" applyAlignment="1"/>
    <xf numFmtId="0" fontId="0" fillId="0" borderId="35" xfId="0" applyBorder="1" applyAlignment="1"/>
    <xf numFmtId="164" fontId="0" fillId="0" borderId="32" xfId="0" applyNumberFormat="1" applyBorder="1"/>
    <xf numFmtId="164" fontId="0" fillId="0" borderId="31" xfId="0" applyNumberFormat="1" applyBorder="1"/>
    <xf numFmtId="164" fontId="0" fillId="3" borderId="31" xfId="0" applyNumberFormat="1" applyFill="1" applyBorder="1"/>
    <xf numFmtId="165" fontId="0" fillId="3" borderId="33" xfId="0" applyNumberFormat="1" applyFill="1" applyBorder="1"/>
    <xf numFmtId="166" fontId="0" fillId="0" borderId="1" xfId="0" applyNumberFormat="1" applyBorder="1"/>
    <xf numFmtId="0" fontId="1" fillId="0" borderId="20" xfId="0" applyFont="1" applyBorder="1" applyAlignment="1"/>
    <xf numFmtId="166" fontId="2" fillId="0" borderId="4" xfId="0" applyNumberFormat="1" applyFont="1" applyBorder="1"/>
    <xf numFmtId="0" fontId="1" fillId="4" borderId="20" xfId="0" applyFont="1" applyFill="1" applyBorder="1" applyAlignment="1"/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0" xfId="0" applyFont="1" applyBorder="1" applyAlignment="1"/>
    <xf numFmtId="0" fontId="1" fillId="0" borderId="30" xfId="0" applyFont="1" applyBorder="1"/>
    <xf numFmtId="0" fontId="1" fillId="5" borderId="30" xfId="0" applyFont="1" applyFill="1" applyBorder="1"/>
    <xf numFmtId="0" fontId="0" fillId="4" borderId="5" xfId="0" applyFill="1" applyBorder="1" applyAlignment="1"/>
    <xf numFmtId="0" fontId="0" fillId="4" borderId="8" xfId="0" applyFill="1" applyBorder="1"/>
    <xf numFmtId="0" fontId="0" fillId="4" borderId="9" xfId="0" applyFill="1" applyBorder="1" applyAlignment="1"/>
    <xf numFmtId="0" fontId="0" fillId="4" borderId="10" xfId="0" applyFill="1" applyBorder="1"/>
    <xf numFmtId="166" fontId="0" fillId="4" borderId="31" xfId="0" applyNumberFormat="1" applyFill="1" applyBorder="1"/>
    <xf numFmtId="166" fontId="0" fillId="0" borderId="33" xfId="0" applyNumberFormat="1" applyBorder="1"/>
    <xf numFmtId="166" fontId="0" fillId="0" borderId="31" xfId="0" applyNumberFormat="1" applyBorder="1"/>
    <xf numFmtId="166" fontId="0" fillId="0" borderId="32" xfId="0" applyNumberFormat="1" applyBorder="1"/>
    <xf numFmtId="164" fontId="0" fillId="4" borderId="31" xfId="0" applyNumberFormat="1" applyFill="1" applyBorder="1"/>
    <xf numFmtId="166" fontId="1" fillId="4" borderId="1" xfId="0" applyNumberFormat="1" applyFont="1" applyFill="1" applyBorder="1"/>
    <xf numFmtId="0" fontId="1" fillId="6" borderId="20" xfId="0" applyFont="1" applyFill="1" applyBorder="1" applyAlignment="1"/>
    <xf numFmtId="0" fontId="0" fillId="6" borderId="5" xfId="0" applyFill="1" applyBorder="1" applyAlignment="1"/>
    <xf numFmtId="0" fontId="0" fillId="6" borderId="8" xfId="0" applyFill="1" applyBorder="1"/>
    <xf numFmtId="0" fontId="0" fillId="6" borderId="9" xfId="0" applyFill="1" applyBorder="1" applyAlignment="1"/>
    <xf numFmtId="0" fontId="0" fillId="6" borderId="10" xfId="0" applyFill="1" applyBorder="1"/>
    <xf numFmtId="166" fontId="0" fillId="6" borderId="31" xfId="0" applyNumberFormat="1" applyFill="1" applyBorder="1"/>
    <xf numFmtId="164" fontId="0" fillId="6" borderId="31" xfId="0" applyNumberFormat="1" applyFill="1" applyBorder="1"/>
    <xf numFmtId="166" fontId="1" fillId="6" borderId="1" xfId="0" applyNumberFormat="1" applyFont="1" applyFill="1" applyBorder="1"/>
    <xf numFmtId="166" fontId="3" fillId="0" borderId="4" xfId="0" applyNumberFormat="1" applyFont="1" applyBorder="1"/>
    <xf numFmtId="166" fontId="0" fillId="0" borderId="4" xfId="0" applyNumberFormat="1" applyBorder="1"/>
    <xf numFmtId="0" fontId="1" fillId="0" borderId="21" xfId="0" applyFont="1" applyBorder="1" applyAlignment="1"/>
    <xf numFmtId="0" fontId="1" fillId="0" borderId="22" xfId="0" applyFont="1" applyBorder="1" applyAlignment="1"/>
    <xf numFmtId="166" fontId="1" fillId="0" borderId="4" xfId="0" applyNumberFormat="1" applyFont="1" applyBorder="1"/>
    <xf numFmtId="0" fontId="0" fillId="0" borderId="27" xfId="0" applyBorder="1"/>
    <xf numFmtId="165" fontId="0" fillId="0" borderId="28" xfId="0" applyNumberFormat="1" applyBorder="1"/>
    <xf numFmtId="0" fontId="0" fillId="0" borderId="36" xfId="0" applyBorder="1" applyAlignment="1"/>
    <xf numFmtId="167" fontId="1" fillId="0" borderId="30" xfId="0" applyNumberFormat="1" applyFont="1" applyFill="1" applyBorder="1"/>
    <xf numFmtId="0" fontId="1" fillId="0" borderId="30" xfId="0" applyFont="1" applyFill="1" applyBorder="1" applyAlignment="1"/>
    <xf numFmtId="166" fontId="1" fillId="0" borderId="3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>
      <selection sqref="A1:XFD1048576"/>
    </sheetView>
  </sheetViews>
  <sheetFormatPr defaultRowHeight="15"/>
  <cols>
    <col min="1" max="1" width="3.7109375" style="1" bestFit="1" customWidth="1"/>
    <col min="2" max="2" width="51.5703125" style="1" bestFit="1" customWidth="1"/>
    <col min="3" max="3" width="50.5703125" style="1" bestFit="1" customWidth="1"/>
    <col min="4" max="4" width="4" style="1" bestFit="1" customWidth="1"/>
    <col min="5" max="5" width="11.140625" style="1" bestFit="1" customWidth="1"/>
    <col min="6" max="6" width="12.28515625" style="1" bestFit="1" customWidth="1"/>
    <col min="7" max="7" width="12" style="1" bestFit="1" customWidth="1"/>
    <col min="8" max="8" width="15.85546875" style="1" bestFit="1" customWidth="1"/>
  </cols>
  <sheetData>
    <row r="1" spans="1:8" ht="15.75" thickTop="1">
      <c r="A1" s="12" t="s">
        <v>0</v>
      </c>
      <c r="B1" s="13"/>
      <c r="C1" s="14" t="s">
        <v>1</v>
      </c>
      <c r="D1" s="14"/>
      <c r="E1" s="15"/>
      <c r="F1" s="16" t="s">
        <v>2</v>
      </c>
      <c r="G1" s="17"/>
      <c r="H1" s="18">
        <v>41372.499884259261</v>
      </c>
    </row>
    <row r="2" spans="1:8">
      <c r="A2" s="19" t="s">
        <v>3</v>
      </c>
      <c r="B2" s="20"/>
      <c r="C2" s="21" t="s">
        <v>4</v>
      </c>
      <c r="D2" s="21"/>
      <c r="E2" s="22"/>
      <c r="F2" s="23" t="s">
        <v>5</v>
      </c>
      <c r="G2" s="24"/>
      <c r="H2" s="25"/>
    </row>
    <row r="3" spans="1:8" ht="15.75" thickBot="1">
      <c r="A3" s="26" t="s">
        <v>6</v>
      </c>
      <c r="B3" s="27"/>
      <c r="C3" s="28">
        <v>1026</v>
      </c>
      <c r="D3" s="28"/>
      <c r="E3" s="29"/>
      <c r="F3" s="30" t="s">
        <v>7</v>
      </c>
      <c r="G3" s="31"/>
      <c r="H3" s="32" t="s">
        <v>8</v>
      </c>
    </row>
    <row r="4" spans="1:8" ht="16.5" thickTop="1" thickBot="1">
      <c r="A4" s="35"/>
      <c r="B4" s="36"/>
      <c r="C4" s="36"/>
      <c r="D4" s="36"/>
      <c r="E4" s="36"/>
      <c r="F4" s="36"/>
      <c r="G4" s="36"/>
      <c r="H4" s="37"/>
    </row>
    <row r="5" spans="1:8" ht="15.75" thickTop="1">
      <c r="A5" s="10" t="s">
        <v>9</v>
      </c>
      <c r="B5" s="4"/>
      <c r="C5" s="5"/>
      <c r="D5" s="5"/>
      <c r="E5" s="5"/>
      <c r="F5" s="5"/>
      <c r="G5" s="5"/>
      <c r="H5" s="6"/>
    </row>
    <row r="6" spans="1:8">
      <c r="A6" s="7"/>
      <c r="B6" s="2"/>
      <c r="C6" s="11" t="s">
        <v>10</v>
      </c>
      <c r="H6" s="8"/>
    </row>
    <row r="7" spans="1:8" ht="15.75" thickBot="1">
      <c r="A7" s="9"/>
      <c r="B7" s="39"/>
      <c r="C7" s="39"/>
      <c r="D7" s="39"/>
      <c r="E7" s="39"/>
      <c r="F7" s="39"/>
      <c r="G7" s="39"/>
      <c r="H7" s="40"/>
    </row>
    <row r="8" spans="1:8" ht="16.5" thickTop="1" thickBot="1">
      <c r="A8" s="41" t="s">
        <v>11</v>
      </c>
      <c r="B8" s="43" t="s">
        <v>12</v>
      </c>
      <c r="C8" s="44"/>
      <c r="D8" s="44"/>
      <c r="E8" s="44"/>
      <c r="F8" s="44"/>
      <c r="G8" s="44"/>
      <c r="H8" s="45"/>
    </row>
    <row r="9" spans="1:8" ht="16.5" thickTop="1" thickBot="1">
      <c r="A9" s="42"/>
      <c r="B9" s="46" t="s">
        <v>13</v>
      </c>
      <c r="C9" s="46" t="s">
        <v>14</v>
      </c>
      <c r="D9" s="46" t="s">
        <v>15</v>
      </c>
      <c r="E9" s="46" t="s">
        <v>16</v>
      </c>
      <c r="F9" s="46" t="s">
        <v>17</v>
      </c>
      <c r="G9" s="46" t="s">
        <v>18</v>
      </c>
      <c r="H9" s="46" t="s">
        <v>19</v>
      </c>
    </row>
    <row r="10" spans="1:8" ht="15.75" thickTop="1">
      <c r="A10" s="47">
        <v>1</v>
      </c>
      <c r="B10" s="47" t="s">
        <v>20</v>
      </c>
      <c r="C10" s="47" t="s">
        <v>21</v>
      </c>
      <c r="D10" s="47"/>
      <c r="E10" s="47">
        <v>1.5774999999999999</v>
      </c>
      <c r="F10" s="47">
        <v>1.98</v>
      </c>
      <c r="G10" s="47"/>
      <c r="H10" s="47">
        <f>E10*F10</f>
        <v>3.1234499999999996</v>
      </c>
    </row>
    <row r="11" spans="1:8">
      <c r="A11" s="48">
        <v>2</v>
      </c>
      <c r="B11" s="48" t="s">
        <v>22</v>
      </c>
      <c r="C11" s="48" t="s">
        <v>21</v>
      </c>
      <c r="D11" s="48"/>
      <c r="E11" s="48">
        <v>1.5774999999999999</v>
      </c>
      <c r="F11" s="48">
        <v>8.1250000000000003E-2</v>
      </c>
      <c r="G11" s="48"/>
      <c r="H11" s="48">
        <f>E11*F11</f>
        <v>0.12817187499999999</v>
      </c>
    </row>
    <row r="12" spans="1:8">
      <c r="A12" s="48">
        <v>3</v>
      </c>
      <c r="B12" s="48" t="s">
        <v>23</v>
      </c>
      <c r="C12" s="48" t="s">
        <v>21</v>
      </c>
      <c r="D12" s="48"/>
      <c r="E12" s="48">
        <v>100</v>
      </c>
      <c r="F12" s="48">
        <v>1.2888078458253897E-5</v>
      </c>
      <c r="G12" s="48"/>
      <c r="H12" s="48">
        <f>E12*F12</f>
        <v>1.2888078458253896E-3</v>
      </c>
    </row>
    <row r="13" spans="1:8">
      <c r="A13" s="48">
        <v>4</v>
      </c>
      <c r="B13" s="48" t="s">
        <v>24</v>
      </c>
      <c r="C13" s="48" t="s">
        <v>21</v>
      </c>
      <c r="D13" s="48"/>
      <c r="E13" s="48">
        <v>100</v>
      </c>
      <c r="F13" s="48">
        <v>0</v>
      </c>
      <c r="G13" s="48"/>
      <c r="H13" s="48">
        <f>E13*F13</f>
        <v>0</v>
      </c>
    </row>
    <row r="14" spans="1:8">
      <c r="A14" s="48">
        <v>5</v>
      </c>
      <c r="B14" s="49" t="s">
        <v>25</v>
      </c>
      <c r="C14" s="49" t="s">
        <v>26</v>
      </c>
      <c r="D14" s="49"/>
      <c r="E14" s="49">
        <v>100</v>
      </c>
      <c r="F14" s="49">
        <v>0.25009999999999999</v>
      </c>
      <c r="G14" s="49"/>
      <c r="H14" s="49">
        <f>E14*F14</f>
        <v>25.009999999999998</v>
      </c>
    </row>
    <row r="15" spans="1:8">
      <c r="A15" s="48">
        <v>6</v>
      </c>
      <c r="B15" s="49" t="s">
        <v>27</v>
      </c>
      <c r="C15" s="49" t="s">
        <v>28</v>
      </c>
      <c r="D15" s="49"/>
      <c r="E15" s="49">
        <v>100</v>
      </c>
      <c r="F15" s="49">
        <v>0.31750499999999998</v>
      </c>
      <c r="G15" s="49"/>
      <c r="H15" s="49">
        <f>E15*F15</f>
        <v>31.750499999999999</v>
      </c>
    </row>
    <row r="16" spans="1:8">
      <c r="A16" s="48">
        <v>7</v>
      </c>
      <c r="B16" s="49" t="s">
        <v>29</v>
      </c>
      <c r="C16" s="49" t="s">
        <v>30</v>
      </c>
      <c r="D16" s="49"/>
      <c r="E16" s="49">
        <v>100</v>
      </c>
      <c r="F16" s="49">
        <v>0.29585</v>
      </c>
      <c r="G16" s="49"/>
      <c r="H16" s="49">
        <f>E16*F16</f>
        <v>29.585000000000001</v>
      </c>
    </row>
    <row r="17" spans="1:8">
      <c r="A17" s="48">
        <v>8</v>
      </c>
      <c r="B17" s="49" t="s">
        <v>31</v>
      </c>
      <c r="C17" s="49" t="s">
        <v>32</v>
      </c>
      <c r="D17" s="49"/>
      <c r="E17" s="49">
        <v>100</v>
      </c>
      <c r="F17" s="49">
        <v>6.4659999999999995E-2</v>
      </c>
      <c r="G17" s="49"/>
      <c r="H17" s="49">
        <f>E17*F17</f>
        <v>6.4659999999999993</v>
      </c>
    </row>
    <row r="18" spans="1:8">
      <c r="A18" s="48">
        <v>9</v>
      </c>
      <c r="B18" s="49" t="s">
        <v>33</v>
      </c>
      <c r="C18" s="49" t="s">
        <v>34</v>
      </c>
      <c r="D18" s="49"/>
      <c r="E18" s="49">
        <v>3.4922999999999996E-2</v>
      </c>
      <c r="F18" s="49">
        <v>0</v>
      </c>
      <c r="G18" s="49"/>
      <c r="H18" s="49">
        <f>E18*F18</f>
        <v>0</v>
      </c>
    </row>
    <row r="19" spans="1:8">
      <c r="A19" s="48">
        <v>10</v>
      </c>
      <c r="B19" s="49" t="s">
        <v>35</v>
      </c>
      <c r="C19" s="49" t="s">
        <v>36</v>
      </c>
      <c r="D19" s="49"/>
      <c r="E19" s="49">
        <v>6.2862000000000001E-2</v>
      </c>
      <c r="F19" s="49">
        <v>58.071999999999996</v>
      </c>
      <c r="G19" s="49"/>
      <c r="H19" s="49">
        <f>E19*F19</f>
        <v>3.650522064</v>
      </c>
    </row>
    <row r="20" spans="1:8">
      <c r="A20" s="48">
        <v>11</v>
      </c>
      <c r="B20" s="49" t="s">
        <v>37</v>
      </c>
      <c r="C20" s="49" t="s">
        <v>38</v>
      </c>
      <c r="D20" s="49"/>
      <c r="E20" s="49">
        <v>9.2213000000000003E-2</v>
      </c>
      <c r="F20" s="49">
        <v>61</v>
      </c>
      <c r="G20" s="49"/>
      <c r="H20" s="49">
        <f>E20*F20</f>
        <v>5.6249929999999999</v>
      </c>
    </row>
    <row r="21" spans="1:8">
      <c r="A21" s="48">
        <v>12</v>
      </c>
      <c r="B21" s="48" t="s">
        <v>39</v>
      </c>
      <c r="C21" s="48" t="s">
        <v>40</v>
      </c>
      <c r="D21" s="48"/>
      <c r="E21" s="48">
        <v>100</v>
      </c>
      <c r="F21" s="48">
        <v>0.62787878787878793</v>
      </c>
      <c r="G21" s="48"/>
      <c r="H21" s="48">
        <f>E21*F21</f>
        <v>62.787878787878796</v>
      </c>
    </row>
    <row r="22" spans="1:8" ht="15.75" thickBot="1">
      <c r="A22" s="48">
        <v>13</v>
      </c>
      <c r="B22" s="50"/>
      <c r="C22" s="50"/>
      <c r="D22" s="50"/>
      <c r="E22" s="50"/>
      <c r="F22" s="50"/>
      <c r="G22" s="50"/>
      <c r="H22" s="50"/>
    </row>
    <row r="23" spans="1:8" ht="16.5" thickTop="1" thickBot="1">
      <c r="A23" s="48">
        <v>14</v>
      </c>
      <c r="B23" s="3" t="s">
        <v>41</v>
      </c>
      <c r="C23" s="34"/>
      <c r="D23" s="34"/>
      <c r="E23" s="34"/>
      <c r="F23" s="34"/>
      <c r="G23" s="52"/>
      <c r="H23" s="51">
        <f>SUM(H10:H22)</f>
        <v>168.12780453472462</v>
      </c>
    </row>
    <row r="24" spans="1:8" ht="15.75" thickTop="1">
      <c r="A24" s="48">
        <v>15</v>
      </c>
      <c r="B24" s="7" t="s">
        <v>42</v>
      </c>
      <c r="C24" s="38"/>
      <c r="D24" s="38"/>
      <c r="E24" s="38"/>
      <c r="F24" s="38"/>
      <c r="G24" s="53"/>
      <c r="H24" s="54">
        <v>0.1067</v>
      </c>
    </row>
    <row r="25" spans="1:8" ht="15.75" thickBot="1">
      <c r="A25" s="48">
        <v>16</v>
      </c>
      <c r="B25" s="9" t="s">
        <v>43</v>
      </c>
      <c r="C25" s="39"/>
      <c r="D25" s="39"/>
      <c r="E25" s="39"/>
      <c r="F25" s="39"/>
      <c r="G25" s="40"/>
      <c r="H25" s="50">
        <f>(H23* H24)</f>
        <v>17.939236743855119</v>
      </c>
    </row>
    <row r="26" spans="1:8" ht="15.75" thickTop="1">
      <c r="A26" s="48">
        <v>17</v>
      </c>
      <c r="B26" s="3" t="s">
        <v>44</v>
      </c>
      <c r="C26" s="34"/>
      <c r="D26" s="34"/>
      <c r="E26" s="34"/>
      <c r="F26" s="34"/>
      <c r="G26" s="52"/>
      <c r="H26" s="56">
        <v>0.1721</v>
      </c>
    </row>
    <row r="27" spans="1:8" ht="15.75" thickBot="1">
      <c r="A27" s="48">
        <v>18</v>
      </c>
      <c r="B27" s="9" t="s">
        <v>45</v>
      </c>
      <c r="C27" s="39"/>
      <c r="D27" s="39"/>
      <c r="E27" s="39"/>
      <c r="F27" s="39"/>
      <c r="G27" s="40"/>
      <c r="H27" s="57">
        <f>(H14+H15+H16+H17+H18+H19+H20)* H26</f>
        <v>17.569175292514398</v>
      </c>
    </row>
    <row r="28" spans="1:8" ht="17.25" thickTop="1" thickBot="1">
      <c r="A28" s="48">
        <v>19</v>
      </c>
      <c r="B28" s="59" t="s">
        <v>12</v>
      </c>
      <c r="C28" s="36"/>
      <c r="D28" s="36"/>
      <c r="E28" s="36"/>
      <c r="F28" s="36"/>
      <c r="G28" s="37"/>
      <c r="H28" s="60">
        <f>(H23+H25+H27)</f>
        <v>203.63621657109411</v>
      </c>
    </row>
    <row r="29" spans="1:8" ht="16.5" thickTop="1" thickBot="1">
      <c r="A29" s="48">
        <v>20</v>
      </c>
      <c r="B29" s="61" t="s">
        <v>46</v>
      </c>
      <c r="C29" s="36"/>
      <c r="D29" s="37"/>
      <c r="E29" s="62" t="s">
        <v>47</v>
      </c>
      <c r="F29" s="63"/>
      <c r="G29" s="64"/>
      <c r="H29" s="65" t="s">
        <v>48</v>
      </c>
    </row>
    <row r="30" spans="1:8" ht="16.5" thickTop="1" thickBot="1">
      <c r="A30" s="48">
        <v>21</v>
      </c>
      <c r="B30" s="66" t="s">
        <v>49</v>
      </c>
      <c r="C30" s="66"/>
      <c r="D30" s="66"/>
      <c r="E30" s="67" t="s">
        <v>50</v>
      </c>
      <c r="F30" s="68" t="s">
        <v>51</v>
      </c>
      <c r="G30" s="68" t="s">
        <v>52</v>
      </c>
      <c r="H30" s="67" t="s">
        <v>50</v>
      </c>
    </row>
    <row r="31" spans="1:8" ht="15.75" thickTop="1">
      <c r="A31" s="48">
        <v>22</v>
      </c>
      <c r="B31" s="69" t="s">
        <v>53</v>
      </c>
      <c r="C31" s="4"/>
      <c r="D31" s="70" t="s">
        <v>54</v>
      </c>
      <c r="E31" s="47">
        <v>25.01</v>
      </c>
      <c r="F31" s="55">
        <v>1</v>
      </c>
      <c r="G31" s="47">
        <f>(E31* F31)</f>
        <v>25.01</v>
      </c>
      <c r="H31" s="47"/>
    </row>
    <row r="32" spans="1:8">
      <c r="A32" s="48">
        <v>23</v>
      </c>
      <c r="B32" s="71" t="s">
        <v>55</v>
      </c>
      <c r="C32" s="2"/>
      <c r="D32" s="72" t="s">
        <v>54</v>
      </c>
      <c r="E32" s="48">
        <v>19.89</v>
      </c>
      <c r="F32" s="54">
        <v>1</v>
      </c>
      <c r="G32" s="48">
        <f>(E32* F32)</f>
        <v>19.89</v>
      </c>
      <c r="H32" s="48"/>
    </row>
    <row r="33" spans="1:8">
      <c r="A33" s="48">
        <v>24</v>
      </c>
      <c r="B33" s="71" t="s">
        <v>56</v>
      </c>
      <c r="C33" s="2"/>
      <c r="D33" s="72" t="s">
        <v>54</v>
      </c>
      <c r="E33" s="48">
        <v>9.02</v>
      </c>
      <c r="F33" s="54">
        <v>1</v>
      </c>
      <c r="G33" s="48">
        <f>(E33* F33)</f>
        <v>9.02</v>
      </c>
      <c r="H33" s="48"/>
    </row>
    <row r="34" spans="1:8">
      <c r="A34" s="48">
        <v>25</v>
      </c>
      <c r="B34" s="71" t="s">
        <v>57</v>
      </c>
      <c r="C34" s="2"/>
      <c r="D34" s="72" t="s">
        <v>54</v>
      </c>
      <c r="E34" s="48">
        <v>0</v>
      </c>
      <c r="F34" s="54">
        <v>1</v>
      </c>
      <c r="G34" s="48">
        <f>(E34* F34)</f>
        <v>0</v>
      </c>
      <c r="H34" s="48"/>
    </row>
    <row r="35" spans="1:8">
      <c r="A35" s="48">
        <v>26</v>
      </c>
      <c r="B35" s="71" t="s">
        <v>58</v>
      </c>
      <c r="C35" s="2"/>
      <c r="D35" s="72" t="s">
        <v>54</v>
      </c>
      <c r="E35" s="48">
        <v>104.66</v>
      </c>
      <c r="F35" s="54">
        <v>1</v>
      </c>
      <c r="G35" s="48">
        <f>(E35* F35)</f>
        <v>104.66</v>
      </c>
      <c r="H35" s="48"/>
    </row>
    <row r="36" spans="1:8">
      <c r="A36" s="48">
        <v>27</v>
      </c>
      <c r="B36" s="71" t="s">
        <v>59</v>
      </c>
      <c r="C36" s="2"/>
      <c r="D36" s="72" t="s">
        <v>54</v>
      </c>
      <c r="E36" s="48">
        <v>22.82</v>
      </c>
      <c r="F36" s="54">
        <v>1</v>
      </c>
      <c r="G36" s="48">
        <f>(E36* F36)</f>
        <v>22.82</v>
      </c>
      <c r="H36" s="48"/>
    </row>
    <row r="37" spans="1:8">
      <c r="A37" s="48">
        <v>28</v>
      </c>
      <c r="B37" s="71" t="s">
        <v>60</v>
      </c>
      <c r="C37" s="2"/>
      <c r="D37" s="72" t="s">
        <v>54</v>
      </c>
      <c r="E37" s="48">
        <v>39.75</v>
      </c>
      <c r="F37" s="54">
        <v>1</v>
      </c>
      <c r="G37" s="48">
        <f>(E37* F37)</f>
        <v>39.75</v>
      </c>
      <c r="H37" s="48"/>
    </row>
    <row r="38" spans="1:8">
      <c r="A38" s="48">
        <v>29</v>
      </c>
      <c r="B38" s="71" t="s">
        <v>61</v>
      </c>
      <c r="C38" s="2"/>
      <c r="D38" s="72" t="s">
        <v>54</v>
      </c>
      <c r="E38" s="48">
        <v>0</v>
      </c>
      <c r="F38" s="54">
        <v>1</v>
      </c>
      <c r="G38" s="48">
        <f>(E38* F38)</f>
        <v>0</v>
      </c>
      <c r="H38" s="48"/>
    </row>
    <row r="39" spans="1:8">
      <c r="A39" s="48">
        <v>30</v>
      </c>
      <c r="B39" s="71" t="s">
        <v>62</v>
      </c>
      <c r="C39" s="2"/>
      <c r="D39" s="72" t="s">
        <v>63</v>
      </c>
      <c r="E39" s="48">
        <v>5.75</v>
      </c>
      <c r="F39" s="54">
        <v>1</v>
      </c>
      <c r="G39" s="48">
        <f>(E39* F39)</f>
        <v>5.75</v>
      </c>
      <c r="H39" s="48"/>
    </row>
    <row r="40" spans="1:8">
      <c r="A40" s="48">
        <v>31</v>
      </c>
      <c r="B40" s="71" t="s">
        <v>64</v>
      </c>
      <c r="C40" s="2"/>
      <c r="D40" s="72" t="s">
        <v>65</v>
      </c>
      <c r="E40" s="48">
        <v>31.34</v>
      </c>
      <c r="F40" s="54">
        <v>1</v>
      </c>
      <c r="G40" s="48">
        <f>(E40* F40)</f>
        <v>31.34</v>
      </c>
      <c r="H40" s="48"/>
    </row>
    <row r="41" spans="1:8">
      <c r="A41" s="48">
        <v>32</v>
      </c>
      <c r="B41" s="71" t="s">
        <v>66</v>
      </c>
      <c r="C41" s="2"/>
      <c r="D41" s="72" t="s">
        <v>65</v>
      </c>
      <c r="E41" s="48">
        <v>15</v>
      </c>
      <c r="F41" s="54">
        <v>1</v>
      </c>
      <c r="G41" s="48">
        <f>(E41* F41)</f>
        <v>15</v>
      </c>
      <c r="H41" s="48"/>
    </row>
    <row r="42" spans="1:8">
      <c r="A42" s="48">
        <v>33</v>
      </c>
      <c r="B42" s="71" t="s">
        <v>67</v>
      </c>
      <c r="C42" s="2"/>
      <c r="D42" s="72" t="s">
        <v>65</v>
      </c>
      <c r="E42" s="48">
        <v>16.34</v>
      </c>
      <c r="F42" s="54">
        <v>1</v>
      </c>
      <c r="G42" s="48">
        <f>(E42* F42)</f>
        <v>16.34</v>
      </c>
      <c r="H42" s="48"/>
    </row>
    <row r="43" spans="1:8">
      <c r="A43" s="48">
        <v>34</v>
      </c>
      <c r="B43" s="71" t="s">
        <v>68</v>
      </c>
      <c r="C43" s="2"/>
      <c r="D43" s="72" t="s">
        <v>69</v>
      </c>
      <c r="E43" s="48">
        <v>11.33</v>
      </c>
      <c r="F43" s="54">
        <v>1</v>
      </c>
      <c r="G43" s="48">
        <f>(E43* F43)</f>
        <v>11.33</v>
      </c>
      <c r="H43" s="48"/>
    </row>
    <row r="44" spans="1:8">
      <c r="A44" s="48">
        <v>35</v>
      </c>
      <c r="B44" s="71" t="s">
        <v>70</v>
      </c>
      <c r="C44" s="2"/>
      <c r="D44" s="72" t="s">
        <v>65</v>
      </c>
      <c r="E44" s="48">
        <v>13.48</v>
      </c>
      <c r="F44" s="54">
        <v>1</v>
      </c>
      <c r="G44" s="48">
        <f>(E44* F44)</f>
        <v>13.48</v>
      </c>
      <c r="H44" s="48"/>
    </row>
    <row r="45" spans="1:8">
      <c r="A45" s="48">
        <v>36</v>
      </c>
      <c r="B45" s="71" t="s">
        <v>71</v>
      </c>
      <c r="C45" s="2"/>
      <c r="D45" s="72" t="s">
        <v>65</v>
      </c>
      <c r="E45" s="48">
        <v>7.56</v>
      </c>
      <c r="F45" s="54">
        <v>1</v>
      </c>
      <c r="G45" s="48">
        <f>(E45* F45)</f>
        <v>7.56</v>
      </c>
      <c r="H45" s="48"/>
    </row>
    <row r="46" spans="1:8">
      <c r="A46" s="48">
        <v>37</v>
      </c>
      <c r="B46" s="71" t="s">
        <v>72</v>
      </c>
      <c r="C46" s="2"/>
      <c r="D46" s="72" t="s">
        <v>65</v>
      </c>
      <c r="E46" s="48">
        <v>12</v>
      </c>
      <c r="F46" s="54">
        <v>1</v>
      </c>
      <c r="G46" s="48">
        <f>(E46* F46)</f>
        <v>12</v>
      </c>
      <c r="H46" s="48"/>
    </row>
    <row r="47" spans="1:8">
      <c r="A47" s="48">
        <v>38</v>
      </c>
      <c r="B47" s="71" t="s">
        <v>73</v>
      </c>
      <c r="C47" s="2"/>
      <c r="D47" s="72" t="s">
        <v>69</v>
      </c>
      <c r="E47" s="48">
        <v>0</v>
      </c>
      <c r="F47" s="54">
        <v>1</v>
      </c>
      <c r="G47" s="48">
        <f>(E47* F47)</f>
        <v>0</v>
      </c>
      <c r="H47" s="48"/>
    </row>
    <row r="48" spans="1:8" ht="15.75" thickBot="1">
      <c r="A48" s="48">
        <v>39</v>
      </c>
      <c r="B48" s="9"/>
      <c r="C48" s="39"/>
      <c r="D48" s="40"/>
      <c r="E48" s="50"/>
      <c r="F48" s="50"/>
      <c r="G48" s="50"/>
      <c r="H48" s="50"/>
    </row>
    <row r="49" spans="1:8" ht="15.75" thickTop="1">
      <c r="A49" s="48">
        <v>40</v>
      </c>
      <c r="B49" s="3" t="s">
        <v>74</v>
      </c>
      <c r="C49" s="34"/>
      <c r="D49" s="52"/>
      <c r="E49" s="47"/>
      <c r="F49" s="47"/>
      <c r="G49" s="73">
        <f>SUM(G31:G47)</f>
        <v>333.94999999999993</v>
      </c>
      <c r="H49" s="75">
        <f>SUM(H31:H47)</f>
        <v>0</v>
      </c>
    </row>
    <row r="50" spans="1:8">
      <c r="A50" s="48">
        <v>41</v>
      </c>
      <c r="B50" s="7" t="s">
        <v>75</v>
      </c>
      <c r="C50" s="38"/>
      <c r="D50" s="53"/>
      <c r="E50" s="48"/>
      <c r="F50" s="48"/>
      <c r="G50" s="48">
        <v>8.433333333333333E-2</v>
      </c>
      <c r="H50" s="76">
        <f>SUM(H31:H47)</f>
        <v>0</v>
      </c>
    </row>
    <row r="51" spans="1:8" ht="15.75" thickBot="1">
      <c r="A51" s="48">
        <v>42</v>
      </c>
      <c r="B51" s="9" t="s">
        <v>76</v>
      </c>
      <c r="C51" s="39"/>
      <c r="D51" s="40"/>
      <c r="E51" s="50"/>
      <c r="F51" s="50"/>
      <c r="G51" s="74">
        <f>(G49* G50)</f>
        <v>28.16311666666666</v>
      </c>
      <c r="H51" s="74">
        <f>(H49* H50)</f>
        <v>0</v>
      </c>
    </row>
    <row r="52" spans="1:8" ht="15.75" thickTop="1">
      <c r="A52" s="48">
        <v>43</v>
      </c>
      <c r="B52" s="3" t="s">
        <v>77</v>
      </c>
      <c r="C52" s="34"/>
      <c r="D52" s="52"/>
      <c r="E52" s="47"/>
      <c r="F52" s="47"/>
      <c r="G52" s="77">
        <v>2.1949999999999998</v>
      </c>
      <c r="H52" s="75">
        <f>(H50* H51)</f>
        <v>0</v>
      </c>
    </row>
    <row r="53" spans="1:8" ht="15.75" thickBot="1">
      <c r="A53" s="48">
        <v>44</v>
      </c>
      <c r="B53" s="9" t="s">
        <v>78</v>
      </c>
      <c r="C53" s="39"/>
      <c r="D53" s="40"/>
      <c r="E53" s="50"/>
      <c r="F53" s="50"/>
      <c r="G53" s="74">
        <f>(G51* G52)</f>
        <v>61.818041083333313</v>
      </c>
      <c r="H53" s="74">
        <f>(H51/100 * H52)</f>
        <v>0</v>
      </c>
    </row>
    <row r="54" spans="1:8" ht="16.5" thickTop="1" thickBot="1">
      <c r="A54" s="48">
        <v>45</v>
      </c>
      <c r="B54" s="33" t="s">
        <v>79</v>
      </c>
      <c r="C54" s="34"/>
      <c r="D54" s="4"/>
      <c r="G54" s="78">
        <f>(G51+ G53)</f>
        <v>89.981157749999966</v>
      </c>
      <c r="H54" s="58">
        <f>(H51+ H53)</f>
        <v>0</v>
      </c>
    </row>
    <row r="55" spans="1:8" ht="16.5" thickTop="1" thickBot="1">
      <c r="A55" s="48">
        <v>46</v>
      </c>
      <c r="B55" s="79" t="s">
        <v>80</v>
      </c>
      <c r="C55" s="36"/>
      <c r="D55" s="37"/>
      <c r="E55" s="62" t="s">
        <v>47</v>
      </c>
      <c r="F55" s="63"/>
      <c r="G55" s="64"/>
      <c r="H55" s="65" t="s">
        <v>48</v>
      </c>
    </row>
    <row r="56" spans="1:8" ht="16.5" thickTop="1" thickBot="1">
      <c r="A56" s="48">
        <v>47</v>
      </c>
      <c r="B56" s="66" t="s">
        <v>49</v>
      </c>
      <c r="C56" s="66"/>
      <c r="D56" s="66"/>
      <c r="E56" s="67" t="s">
        <v>50</v>
      </c>
      <c r="F56" s="68" t="s">
        <v>51</v>
      </c>
      <c r="G56" s="68" t="s">
        <v>52</v>
      </c>
      <c r="H56" s="67" t="s">
        <v>50</v>
      </c>
    </row>
    <row r="57" spans="1:8" ht="15.75" thickTop="1">
      <c r="A57" s="48">
        <v>48</v>
      </c>
      <c r="B57" s="80" t="s">
        <v>81</v>
      </c>
      <c r="C57" s="4"/>
      <c r="D57" s="81" t="s">
        <v>54</v>
      </c>
      <c r="E57" s="47">
        <v>15.77</v>
      </c>
      <c r="F57" s="55">
        <v>1</v>
      </c>
      <c r="G57" s="47">
        <f>(E57* F57)</f>
        <v>15.77</v>
      </c>
      <c r="H57" s="47"/>
    </row>
    <row r="58" spans="1:8">
      <c r="A58" s="48">
        <v>49</v>
      </c>
      <c r="B58" s="82" t="s">
        <v>82</v>
      </c>
      <c r="C58" s="2"/>
      <c r="D58" s="83" t="s">
        <v>54</v>
      </c>
      <c r="E58" s="48">
        <v>0</v>
      </c>
      <c r="F58" s="54">
        <v>1</v>
      </c>
      <c r="G58" s="48">
        <f>(E58* F58)</f>
        <v>0</v>
      </c>
      <c r="H58" s="48"/>
    </row>
    <row r="59" spans="1:8">
      <c r="A59" s="48">
        <v>50</v>
      </c>
      <c r="B59" s="82" t="s">
        <v>83</v>
      </c>
      <c r="C59" s="2"/>
      <c r="D59" s="83" t="s">
        <v>54</v>
      </c>
      <c r="E59" s="48">
        <v>0</v>
      </c>
      <c r="F59" s="54">
        <v>1</v>
      </c>
      <c r="G59" s="48">
        <f>(E59* F59)</f>
        <v>0</v>
      </c>
      <c r="H59" s="48"/>
    </row>
    <row r="60" spans="1:8">
      <c r="A60" s="48">
        <v>51</v>
      </c>
      <c r="B60" s="82" t="s">
        <v>84</v>
      </c>
      <c r="C60" s="2"/>
      <c r="D60" s="83" t="s">
        <v>54</v>
      </c>
      <c r="E60" s="48">
        <v>2.4300000000000002</v>
      </c>
      <c r="F60" s="54">
        <v>1</v>
      </c>
      <c r="G60" s="48">
        <f>(E60* F60)</f>
        <v>2.4300000000000002</v>
      </c>
      <c r="H60" s="48"/>
    </row>
    <row r="61" spans="1:8">
      <c r="A61" s="48">
        <v>52</v>
      </c>
      <c r="B61" s="82" t="s">
        <v>85</v>
      </c>
      <c r="C61" s="2"/>
      <c r="D61" s="83" t="s">
        <v>54</v>
      </c>
      <c r="E61" s="48">
        <v>0</v>
      </c>
      <c r="F61" s="54">
        <v>1</v>
      </c>
      <c r="G61" s="48">
        <f>(E61* F61)</f>
        <v>0</v>
      </c>
      <c r="H61" s="48"/>
    </row>
    <row r="62" spans="1:8">
      <c r="A62" s="48">
        <v>53</v>
      </c>
      <c r="B62" s="82" t="s">
        <v>86</v>
      </c>
      <c r="C62" s="2"/>
      <c r="D62" s="83" t="s">
        <v>54</v>
      </c>
      <c r="E62" s="48">
        <v>2.31</v>
      </c>
      <c r="F62" s="54">
        <v>1</v>
      </c>
      <c r="G62" s="48">
        <f>(E62* F62)</f>
        <v>2.31</v>
      </c>
      <c r="H62" s="48"/>
    </row>
    <row r="63" spans="1:8" ht="15.75" thickBot="1">
      <c r="A63" s="48">
        <v>54</v>
      </c>
      <c r="B63" s="9"/>
      <c r="C63" s="39"/>
      <c r="D63" s="40"/>
      <c r="E63" s="50"/>
      <c r="F63" s="50"/>
      <c r="G63" s="50"/>
      <c r="H63" s="50"/>
    </row>
    <row r="64" spans="1:8" ht="15.75" thickTop="1">
      <c r="A64" s="48">
        <v>55</v>
      </c>
      <c r="B64" s="3" t="s">
        <v>74</v>
      </c>
      <c r="C64" s="34"/>
      <c r="D64" s="52"/>
      <c r="E64" s="47"/>
      <c r="F64" s="47"/>
      <c r="G64" s="84">
        <f>SUM(G57:G62)</f>
        <v>20.509999999999998</v>
      </c>
      <c r="H64" s="75">
        <f>SUM(H57:H62)</f>
        <v>0</v>
      </c>
    </row>
    <row r="65" spans="1:8">
      <c r="A65" s="48">
        <v>56</v>
      </c>
      <c r="B65" s="7" t="s">
        <v>75</v>
      </c>
      <c r="C65" s="38"/>
      <c r="D65" s="53"/>
      <c r="E65" s="48"/>
      <c r="F65" s="48"/>
      <c r="G65" s="48">
        <v>8.433333333333333E-2</v>
      </c>
      <c r="H65" s="76">
        <f>SUM(H57:H62)</f>
        <v>0</v>
      </c>
    </row>
    <row r="66" spans="1:8" ht="15.75" thickBot="1">
      <c r="A66" s="48">
        <v>57</v>
      </c>
      <c r="B66" s="9" t="s">
        <v>76</v>
      </c>
      <c r="C66" s="39"/>
      <c r="D66" s="40"/>
      <c r="E66" s="50"/>
      <c r="F66" s="50"/>
      <c r="G66" s="74">
        <f>(G64* G65)</f>
        <v>1.7296766666666665</v>
      </c>
      <c r="H66" s="74">
        <f>(H64* H65)</f>
        <v>0</v>
      </c>
    </row>
    <row r="67" spans="1:8" ht="15.75" thickTop="1">
      <c r="A67" s="48">
        <v>58</v>
      </c>
      <c r="B67" s="3" t="s">
        <v>77</v>
      </c>
      <c r="C67" s="34"/>
      <c r="D67" s="52"/>
      <c r="E67" s="47"/>
      <c r="F67" s="47"/>
      <c r="G67" s="85">
        <v>2.1949999999999998</v>
      </c>
      <c r="H67" s="75">
        <f>(H65* H66)</f>
        <v>0</v>
      </c>
    </row>
    <row r="68" spans="1:8" ht="15.75" thickBot="1">
      <c r="A68" s="48">
        <v>59</v>
      </c>
      <c r="B68" s="9" t="s">
        <v>78</v>
      </c>
      <c r="C68" s="39"/>
      <c r="D68" s="40"/>
      <c r="E68" s="50"/>
      <c r="F68" s="50"/>
      <c r="G68" s="74">
        <f>(G66* G67)</f>
        <v>3.7966402833333328</v>
      </c>
      <c r="H68" s="74">
        <f>(H66/100 * H67)</f>
        <v>0</v>
      </c>
    </row>
    <row r="69" spans="1:8" ht="16.5" thickTop="1" thickBot="1">
      <c r="A69" s="48">
        <v>60</v>
      </c>
      <c r="B69" s="33" t="s">
        <v>79</v>
      </c>
      <c r="C69" s="34"/>
      <c r="D69" s="4"/>
      <c r="G69" s="86">
        <f>(G66+ G68)</f>
        <v>5.5263169499999991</v>
      </c>
      <c r="H69" s="58">
        <f>(H66+ H68)</f>
        <v>0</v>
      </c>
    </row>
    <row r="70" spans="1:8" ht="17.25" thickTop="1" thickBot="1">
      <c r="A70" s="48">
        <v>61</v>
      </c>
      <c r="B70" s="35" t="s">
        <v>87</v>
      </c>
      <c r="C70" s="36"/>
      <c r="D70" s="36"/>
      <c r="E70" s="36"/>
      <c r="F70" s="36"/>
      <c r="G70" s="37"/>
      <c r="H70" s="87">
        <f>(G54+G69)</f>
        <v>95.50747469999996</v>
      </c>
    </row>
    <row r="71" spans="1:8" ht="16.5" thickTop="1" thickBot="1">
      <c r="A71" s="48">
        <v>62</v>
      </c>
      <c r="B71" s="35"/>
      <c r="C71" s="36"/>
      <c r="D71" s="36"/>
      <c r="E71" s="36"/>
      <c r="F71" s="36"/>
      <c r="G71" s="37"/>
      <c r="H71" s="51"/>
    </row>
    <row r="72" spans="1:8" ht="16.5" thickTop="1" thickBot="1">
      <c r="A72" s="48">
        <v>63</v>
      </c>
      <c r="B72" s="59" t="s">
        <v>88</v>
      </c>
      <c r="C72" s="89"/>
      <c r="D72" s="89"/>
      <c r="E72" s="89"/>
      <c r="F72" s="89"/>
      <c r="G72" s="90"/>
      <c r="H72" s="91">
        <f>(H28 + H70 )</f>
        <v>299.1436912710941</v>
      </c>
    </row>
    <row r="73" spans="1:8" ht="15.75" thickTop="1">
      <c r="A73" s="48">
        <v>64</v>
      </c>
      <c r="B73" s="3" t="s">
        <v>89</v>
      </c>
      <c r="C73" s="34"/>
      <c r="D73" s="34"/>
      <c r="E73" s="34"/>
      <c r="F73" s="34"/>
      <c r="G73" s="52"/>
      <c r="H73" s="55">
        <v>0</v>
      </c>
    </row>
    <row r="74" spans="1:8" ht="15.75" thickBot="1">
      <c r="A74" s="48">
        <v>65</v>
      </c>
      <c r="B74" s="9" t="s">
        <v>90</v>
      </c>
      <c r="C74" s="39"/>
      <c r="D74" s="39"/>
      <c r="E74" s="39"/>
      <c r="F74" s="39"/>
      <c r="G74" s="40"/>
      <c r="H74" s="74">
        <f>(H72 * H73)</f>
        <v>0</v>
      </c>
    </row>
    <row r="75" spans="1:8" ht="15.75" thickTop="1">
      <c r="A75" s="48">
        <v>66</v>
      </c>
      <c r="B75" s="3" t="s">
        <v>91</v>
      </c>
      <c r="C75" s="34"/>
      <c r="D75" s="34"/>
      <c r="E75" s="34"/>
      <c r="F75" s="34"/>
      <c r="G75" s="52"/>
      <c r="H75" s="55">
        <v>0</v>
      </c>
    </row>
    <row r="76" spans="1:8" ht="15.75" thickBot="1">
      <c r="A76" s="48">
        <v>67</v>
      </c>
      <c r="B76" s="9" t="s">
        <v>92</v>
      </c>
      <c r="C76" s="39"/>
      <c r="D76" s="39"/>
      <c r="E76" s="39"/>
      <c r="F76" s="39"/>
      <c r="G76" s="40"/>
      <c r="H76" s="74">
        <f>(H72 * H75)</f>
        <v>0</v>
      </c>
    </row>
    <row r="77" spans="1:8" ht="15.75" thickTop="1">
      <c r="A77" s="48">
        <v>68</v>
      </c>
      <c r="B77" s="3" t="s">
        <v>93</v>
      </c>
      <c r="C77" s="34"/>
      <c r="D77" s="34"/>
      <c r="E77" s="34"/>
      <c r="F77" s="34"/>
      <c r="G77" s="52"/>
      <c r="H77" s="55">
        <v>0</v>
      </c>
    </row>
    <row r="78" spans="1:8" ht="15.75" thickBot="1">
      <c r="A78" s="48">
        <v>69</v>
      </c>
      <c r="B78" s="9" t="s">
        <v>94</v>
      </c>
      <c r="C78" s="39"/>
      <c r="D78" s="39"/>
      <c r="E78" s="39"/>
      <c r="F78" s="39"/>
      <c r="G78" s="40"/>
      <c r="H78" s="74">
        <f>(H72 * H77)</f>
        <v>0</v>
      </c>
    </row>
    <row r="79" spans="1:8" ht="16.5" thickTop="1" thickBot="1">
      <c r="A79" s="48">
        <v>70</v>
      </c>
      <c r="B79" s="92" t="s">
        <v>95</v>
      </c>
      <c r="C79" s="93">
        <v>5</v>
      </c>
      <c r="D79" s="94" t="s">
        <v>96</v>
      </c>
      <c r="E79" s="36"/>
      <c r="F79" s="36"/>
      <c r="G79" s="37"/>
      <c r="H79" s="88">
        <f>100/(100-C79)</f>
        <v>1.0526315789473684</v>
      </c>
    </row>
    <row r="80" spans="1:8" ht="16.5" thickTop="1" thickBot="1">
      <c r="A80" s="48">
        <v>71</v>
      </c>
      <c r="B80" s="35" t="s">
        <v>97</v>
      </c>
      <c r="C80" s="36"/>
      <c r="D80" s="36"/>
      <c r="E80" s="36"/>
      <c r="F80" s="36"/>
      <c r="G80" s="37"/>
      <c r="H80" s="88">
        <f>(H72 + H74 + H76+  H78) * H79</f>
        <v>314.88809607483586</v>
      </c>
    </row>
    <row r="81" spans="1:8" ht="16.5" thickTop="1" thickBot="1">
      <c r="A81" s="50">
        <v>72</v>
      </c>
      <c r="B81" s="46" t="s">
        <v>98</v>
      </c>
      <c r="C81" s="95">
        <v>2.5</v>
      </c>
      <c r="D81" s="96"/>
      <c r="E81" s="96"/>
      <c r="F81" s="96"/>
      <c r="G81" s="96"/>
      <c r="H81" s="97">
        <f>H80 / C81</f>
        <v>125.95523842993434</v>
      </c>
    </row>
    <row r="82" spans="1:8" ht="15.75" thickTop="1"/>
  </sheetData>
  <mergeCells count="69">
    <mergeCell ref="D79:G79"/>
    <mergeCell ref="B80:G80"/>
    <mergeCell ref="D81:G81"/>
    <mergeCell ref="B73:G73"/>
    <mergeCell ref="B74:G74"/>
    <mergeCell ref="B75:G75"/>
    <mergeCell ref="B76:G76"/>
    <mergeCell ref="B77:G77"/>
    <mergeCell ref="B78:G78"/>
    <mergeCell ref="B67:D67"/>
    <mergeCell ref="B68:D68"/>
    <mergeCell ref="B69:D69"/>
    <mergeCell ref="B70:G70"/>
    <mergeCell ref="B71:G71"/>
    <mergeCell ref="B72:G72"/>
    <mergeCell ref="B61:C61"/>
    <mergeCell ref="B62:C62"/>
    <mergeCell ref="B63:D63"/>
    <mergeCell ref="B64:D64"/>
    <mergeCell ref="B65:D65"/>
    <mergeCell ref="B66:D66"/>
    <mergeCell ref="E55:G55"/>
    <mergeCell ref="B56:D56"/>
    <mergeCell ref="B57:C57"/>
    <mergeCell ref="B58:C58"/>
    <mergeCell ref="B59:C59"/>
    <mergeCell ref="B60:C60"/>
    <mergeCell ref="B50:D50"/>
    <mergeCell ref="B51:D51"/>
    <mergeCell ref="B52:D52"/>
    <mergeCell ref="B53:D53"/>
    <mergeCell ref="B54:D54"/>
    <mergeCell ref="B55:D55"/>
    <mergeCell ref="B44:C44"/>
    <mergeCell ref="B45:C45"/>
    <mergeCell ref="B46:C46"/>
    <mergeCell ref="B47:C47"/>
    <mergeCell ref="B48:D48"/>
    <mergeCell ref="B49:D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7:G27"/>
    <mergeCell ref="B28:G28"/>
    <mergeCell ref="B29:D29"/>
    <mergeCell ref="E29:G29"/>
    <mergeCell ref="B30:D30"/>
    <mergeCell ref="B31:C31"/>
    <mergeCell ref="A7:H7"/>
    <mergeCell ref="A8:A9"/>
    <mergeCell ref="B23:G23"/>
    <mergeCell ref="B24:G24"/>
    <mergeCell ref="B25:G25"/>
    <mergeCell ref="B26:G26"/>
    <mergeCell ref="A1:B1"/>
    <mergeCell ref="A2:B2"/>
    <mergeCell ref="A3:B3"/>
    <mergeCell ref="A4:H4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 PN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2013-04-08T14:59:50Z</dcterms:created>
  <dcterms:modified xsi:type="dcterms:W3CDTF">2013-04-08T15:00:21Z</dcterms:modified>
</cp:coreProperties>
</file>