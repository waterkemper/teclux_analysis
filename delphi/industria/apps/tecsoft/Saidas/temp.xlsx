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3895" windowHeight="12525"/>
  </bookViews>
  <sheets>
    <sheet name="Custo PN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H108" i="1"/>
  <c r="H107"/>
  <c r="H106"/>
  <c r="H105"/>
  <c r="H103"/>
  <c r="H101"/>
  <c r="H99"/>
  <c r="H98"/>
  <c r="H97"/>
  <c r="G97"/>
  <c r="H96"/>
  <c r="G96"/>
  <c r="H95"/>
  <c r="H94"/>
  <c r="G94"/>
  <c r="H93"/>
  <c r="H92"/>
  <c r="G92"/>
  <c r="G91"/>
  <c r="H88"/>
  <c r="G88"/>
  <c r="H87"/>
  <c r="G87"/>
  <c r="H86"/>
  <c r="H85"/>
  <c r="G85"/>
  <c r="H84"/>
  <c r="H83"/>
  <c r="G83"/>
  <c r="G82"/>
  <c r="H79"/>
  <c r="G79"/>
  <c r="H78"/>
  <c r="G78"/>
  <c r="H77"/>
  <c r="H76"/>
  <c r="G76"/>
  <c r="H75"/>
  <c r="H74"/>
  <c r="G74"/>
  <c r="G73"/>
  <c r="G72"/>
  <c r="G71"/>
  <c r="G70"/>
  <c r="G69"/>
  <c r="G68"/>
  <c r="G67"/>
  <c r="G66"/>
  <c r="G65"/>
  <c r="H62"/>
  <c r="G62"/>
  <c r="H61"/>
  <c r="G61"/>
  <c r="H60"/>
  <c r="H59"/>
  <c r="G59"/>
  <c r="H58"/>
  <c r="H57"/>
  <c r="G57"/>
  <c r="G56"/>
  <c r="H53"/>
  <c r="G53"/>
  <c r="H52"/>
  <c r="G52"/>
  <c r="H51"/>
  <c r="H50"/>
  <c r="G50"/>
  <c r="H49"/>
  <c r="H48"/>
  <c r="G48"/>
  <c r="G47"/>
  <c r="G46"/>
  <c r="G45"/>
  <c r="G44"/>
  <c r="G43"/>
  <c r="G42"/>
  <c r="G41"/>
  <c r="G40"/>
  <c r="G39"/>
  <c r="G38"/>
  <c r="G37"/>
  <c r="G36"/>
  <c r="H33"/>
  <c r="H32"/>
  <c r="H30"/>
  <c r="H28"/>
  <c r="H27"/>
  <c r="H26"/>
  <c r="H25"/>
  <c r="H24"/>
  <c r="H23"/>
  <c r="H22"/>
  <c r="H19"/>
  <c r="H16"/>
  <c r="H13"/>
  <c r="H12"/>
  <c r="H11"/>
  <c r="H10"/>
</calcChain>
</file>

<file path=xl/sharedStrings.xml><?xml version="1.0" encoding="utf-8"?>
<sst xmlns="http://schemas.openxmlformats.org/spreadsheetml/2006/main" count="218" uniqueCount="123">
  <si>
    <t>Kunde         :</t>
  </si>
  <si>
    <t>VALEO SIST.AUTOM.LTDA.DIV.TERMICO MOTOR.</t>
  </si>
  <si>
    <t>Erstellt  :</t>
  </si>
  <si>
    <t>Typ / Projekt :</t>
  </si>
  <si>
    <t>ZKVW 2242 R30 10% - ZKVW 2242 R30 10%-1RS030A</t>
  </si>
  <si>
    <t>Nr.       :</t>
  </si>
  <si>
    <t>PN            :</t>
  </si>
  <si>
    <t>Ersteller :</t>
  </si>
  <si>
    <t>TAR1</t>
  </si>
  <si>
    <t>Kundenbedarf / Laufzeit</t>
  </si>
  <si>
    <t>KRAH-ICE</t>
  </si>
  <si>
    <t>Nr.</t>
  </si>
  <si>
    <t>Materialkosten</t>
  </si>
  <si>
    <t>Artikel</t>
  </si>
  <si>
    <t>Artikel-Nr.</t>
  </si>
  <si>
    <t>ME</t>
  </si>
  <si>
    <t>Menge/%</t>
  </si>
  <si>
    <t>EK-Preis (R$)</t>
  </si>
  <si>
    <t>MTZ</t>
  </si>
  <si>
    <t>MEK (R$/%)</t>
  </si>
  <si>
    <t>Data NF</t>
  </si>
  <si>
    <t>Moeda</t>
  </si>
  <si>
    <t>Preço</t>
  </si>
  <si>
    <t>% Perda</t>
  </si>
  <si>
    <t>1.1</t>
  </si>
  <si>
    <t>MASSA PORCELANA SECA - Masse</t>
  </si>
  <si>
    <t>14546KER60AA</t>
  </si>
  <si>
    <t>REAL</t>
  </si>
  <si>
    <t>1.2</t>
  </si>
  <si>
    <t>MASSA PORCELANA SECA - Transport</t>
  </si>
  <si>
    <t>1.3</t>
  </si>
  <si>
    <t>MASSA PORCELANA SECA - Brennen-Kosten</t>
  </si>
  <si>
    <t>1.4</t>
  </si>
  <si>
    <t>MASSA PORCELANA SECA - Platte Amortisierungskosten</t>
  </si>
  <si>
    <t>Cimento Betumagem Porcelana 14546KER60AA</t>
  </si>
  <si>
    <t>Cimento Betumagem 14546KER60AA</t>
  </si>
  <si>
    <t>EURO</t>
  </si>
  <si>
    <t>Cimento Pintura Porcelana 14546KER60AA</t>
  </si>
  <si>
    <t>Cimento Pintura 14546KER60AA</t>
  </si>
  <si>
    <t>TERMOFUSIVEIS 35/35MM</t>
  </si>
  <si>
    <t>MTS-216-10A-L-G</t>
  </si>
  <si>
    <t>Matrix inox NF</t>
  </si>
  <si>
    <t>01075MTX21AA_NF</t>
  </si>
  <si>
    <t>01075MTX92AA_NF</t>
  </si>
  <si>
    <t>6.1</t>
  </si>
  <si>
    <t>BOBINA EM ACO INOX 304 DIN 1.4301</t>
  </si>
  <si>
    <t>INOX 33X0,60MM</t>
  </si>
  <si>
    <t>Base plástica resistor 1RS030A - FIAT 32</t>
  </si>
  <si>
    <t>01078KST01AA.T cinza</t>
  </si>
  <si>
    <t>7.1</t>
  </si>
  <si>
    <t>Matrix latao NF</t>
  </si>
  <si>
    <t>01078MTX00AA.T</t>
  </si>
  <si>
    <t>7.1.1</t>
  </si>
  <si>
    <t>FITA DE LATAO MD ESTANHADA 29,6X0,77</t>
  </si>
  <si>
    <t>LATAO 29,6X0,77MM</t>
  </si>
  <si>
    <t>7.2</t>
  </si>
  <si>
    <t>TECHNYL A 216 V33 NATURAL</t>
  </si>
  <si>
    <t>NYL.A216 NAT</t>
  </si>
  <si>
    <t>7.3</t>
  </si>
  <si>
    <t>POLICOR CINZA</t>
  </si>
  <si>
    <t>CI 632</t>
  </si>
  <si>
    <t>FIO CRAL 255 BK BITOLA 0,845MM C/2R561/M</t>
  </si>
  <si>
    <t>0846D240/0845D240</t>
  </si>
  <si>
    <t>Verpackung</t>
  </si>
  <si>
    <t>Summe Materialeinzelkosten</t>
  </si>
  <si>
    <t>MGK-Satz</t>
  </si>
  <si>
    <t>MGK</t>
  </si>
  <si>
    <t>Importnebenkosten</t>
  </si>
  <si>
    <t>Importnebenkosten-Gemeinkosten</t>
  </si>
  <si>
    <t xml:space="preserve">Fertigungskosten </t>
  </si>
  <si>
    <t>BT</t>
  </si>
  <si>
    <t>HA</t>
  </si>
  <si>
    <t>Arbeitsgang</t>
  </si>
  <si>
    <t>te (min./%)</t>
  </si>
  <si>
    <t>LK/STD</t>
  </si>
  <si>
    <t>Kalk.-Wert</t>
  </si>
  <si>
    <t>BECI-FO - Betumagem Terminais ZKVW (PN 01078,1091,1111 e Simil.)</t>
  </si>
  <si>
    <t xml:space="preserve">   </t>
  </si>
  <si>
    <t>QUEI-CII - Queima/estufagem para cimento inorgânico</t>
  </si>
  <si>
    <t>BB-KVW - Bobinamento Duplo Família ZKVW</t>
  </si>
  <si>
    <t>SOPO-KVW - Solda pto do fio paralelo sobre os terminais</t>
  </si>
  <si>
    <t>PICI-KVW - Pintura KVW c/ bobinamento duplo</t>
  </si>
  <si>
    <t xml:space="preserve">QUEI-CII - Queima/estufagem Para Cimento Inorgânico </t>
  </si>
  <si>
    <t>SOPO-KVW - Solda pto sobre a mtx,montar e travar abas</t>
  </si>
  <si>
    <t xml:space="preserve"> g </t>
  </si>
  <si>
    <t>SOPO-KVW - Solda MTS sobre o terminal inox/01075MTX92AA_NF</t>
  </si>
  <si>
    <t xml:space="preserve"> G </t>
  </si>
  <si>
    <t>SOPO-KVW - Solda MTS sobre o terminal latão/01078MTX00AA.T</t>
  </si>
  <si>
    <t>CARI-KVW - Carimbo Família ZKVW</t>
  </si>
  <si>
    <t>MEDI-KVW - Medir Valor Ôhmico, Controle Final e Embalar</t>
  </si>
  <si>
    <t>CRFI-EX - Verificar Peças+OSP e Fechar Caixas</t>
  </si>
  <si>
    <t>Summealfwand</t>
  </si>
  <si>
    <t>Lohnfaktor Produktion  (R$ 5,06/hora = R$ 0,0843/min)</t>
  </si>
  <si>
    <t>Fertigungseinzelkosten</t>
  </si>
  <si>
    <t>FGK-Satz</t>
  </si>
  <si>
    <t>Fertigungsgemeinkosten</t>
  </si>
  <si>
    <t>Fertigungskosten</t>
  </si>
  <si>
    <t xml:space="preserve">FALTA - FL - </t>
  </si>
  <si>
    <t>Lohnfaktor Produktion  (R$ 0,00/hora = R$ 0,0000/min)</t>
  </si>
  <si>
    <t>EXTR-ZKVW - Extrusar Massa Porcelana Formato ZKVW</t>
  </si>
  <si>
    <t>SECAR - Secagem em temperatura ambiente</t>
  </si>
  <si>
    <t>ESTU - Secagem de Porcelana 70 Graus</t>
  </si>
  <si>
    <t xml:space="preserve">COPO-ZKVW - Cortar e Embalar Porcelana 300W </t>
  </si>
  <si>
    <t>REPO-KP - Retirar pó da porcelana(KP)</t>
  </si>
  <si>
    <t>ANSCH-VOR - Abrir Ranhura e Limpeza Porcelana 300W</t>
  </si>
  <si>
    <t>EMBAPO-KVW - Retirar Excesso de Pó e Embalar Família ZKVW</t>
  </si>
  <si>
    <t>QUEI - Queima da porcelana</t>
  </si>
  <si>
    <t>CTRL-PORC - Controle Porcelana ZKVW 300</t>
  </si>
  <si>
    <t>Fertigungskosten Matrix</t>
  </si>
  <si>
    <t>PR100 - Prensa de 100 Ton - estampagem de Matrix</t>
  </si>
  <si>
    <t>Lohnfaktor Produktion  (R$ 7,03/hora = R$ 0,1172/min)</t>
  </si>
  <si>
    <t>Summe Fertigungskosten</t>
  </si>
  <si>
    <t>Herstellkosten</t>
  </si>
  <si>
    <t>Verwaltungskosten - Gemeinkosten-Satz</t>
  </si>
  <si>
    <t>Verwaltungskosten-Gemeinkosten</t>
  </si>
  <si>
    <t>Vertrieskosten-Gemeinkosten-Satz</t>
  </si>
  <si>
    <t>Vertrieskosten-Gemeinkosten</t>
  </si>
  <si>
    <t>Entwicklungskosten-Gemeinkosten-Satz</t>
  </si>
  <si>
    <t>Entwicklungskosten-Gemeinkosten</t>
  </si>
  <si>
    <t>Vertriesfaktoren</t>
  </si>
  <si>
    <t>%</t>
  </si>
  <si>
    <t>Selbstkosten R$/%</t>
  </si>
  <si>
    <t>Selbstkosten €/%</t>
  </si>
</sst>
</file>

<file path=xl/styles.xml><?xml version="1.0" encoding="utf-8"?>
<styleSheet xmlns="http://schemas.openxmlformats.org/spreadsheetml/2006/main">
  <numFmts count="6">
    <numFmt numFmtId="7" formatCode="&quot;R$&quot;\ #,##0.00;\-&quot;R$&quot;\ #,##0.00"/>
    <numFmt numFmtId="164" formatCode="##0.00%"/>
    <numFmt numFmtId="165" formatCode="###,###,##0.0000"/>
    <numFmt numFmtId="166" formatCode="###,###,##0.00"/>
    <numFmt numFmtId="167" formatCode="###,##0.00"/>
    <numFmt numFmtId="168" formatCode="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C0000"/>
      <name val="Calibri"/>
      <family val="2"/>
      <scheme val="minor"/>
    </font>
    <font>
      <sz val="12"/>
      <color rgb="FFCC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6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BCBC7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E0FF"/>
        <bgColor indexed="64"/>
      </patternFill>
    </fill>
    <fill>
      <patternFill patternType="solid">
        <fgColor rgb="FFC993FF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64"/>
      </right>
      <top style="thick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n">
        <color indexed="64"/>
      </bottom>
      <diagonal/>
    </border>
    <border>
      <left style="thin">
        <color indexed="64"/>
      </left>
      <right style="thick">
        <color indexed="8"/>
      </right>
      <top style="thick">
        <color indexed="8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thick">
        <color indexed="8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64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ck">
        <color indexed="8"/>
      </right>
      <top style="thin">
        <color auto="1"/>
      </top>
      <bottom style="thin">
        <color indexed="64"/>
      </bottom>
      <diagonal/>
    </border>
    <border>
      <left style="thick">
        <color indexed="8"/>
      </left>
      <right style="thin">
        <color indexed="64"/>
      </right>
      <top style="thin">
        <color auto="1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ck">
        <color indexed="8"/>
      </bottom>
      <diagonal/>
    </border>
    <border>
      <left style="thin">
        <color indexed="64"/>
      </left>
      <right style="thick">
        <color indexed="8"/>
      </right>
      <top style="thin">
        <color auto="1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auto="1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thin">
        <color auto="1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indexed="8"/>
      </left>
      <right style="thick">
        <color indexed="8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49" fontId="0" fillId="0" borderId="0" xfId="0" applyNumberFormat="1"/>
    <xf numFmtId="0" fontId="0" fillId="0" borderId="4" xfId="0" applyBorder="1" applyAlignment="1"/>
    <xf numFmtId="0" fontId="0" fillId="0" borderId="4" xfId="0" applyBorder="1"/>
    <xf numFmtId="0" fontId="0" fillId="0" borderId="5" xfId="0" applyBorder="1"/>
    <xf numFmtId="49" fontId="1" fillId="0" borderId="3" xfId="0" applyNumberFormat="1" applyFont="1" applyBorder="1" applyAlignment="1"/>
    <xf numFmtId="49" fontId="1" fillId="2" borderId="3" xfId="0" applyNumberFormat="1" applyFont="1" applyFill="1" applyBorder="1" applyAlignment="1"/>
    <xf numFmtId="0" fontId="1" fillId="2" borderId="4" xfId="0" applyFont="1" applyFill="1" applyBorder="1" applyAlignment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3" xfId="0" applyFill="1" applyBorder="1"/>
    <xf numFmtId="0" fontId="0" fillId="2" borderId="4" xfId="0" applyFill="1" applyBorder="1"/>
    <xf numFmtId="22" fontId="0" fillId="2" borderId="5" xfId="0" applyNumberFormat="1" applyFill="1" applyBorder="1"/>
    <xf numFmtId="49" fontId="1" fillId="2" borderId="6" xfId="0" applyNumberFormat="1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1" fillId="2" borderId="7" xfId="0" applyFont="1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49" fontId="1" fillId="2" borderId="8" xfId="0" applyNumberFormat="1" applyFont="1" applyFill="1" applyBorder="1" applyAlignment="1"/>
    <xf numFmtId="0" fontId="1" fillId="2" borderId="9" xfId="0" applyFont="1" applyFill="1" applyBorder="1" applyAlignment="1"/>
    <xf numFmtId="0" fontId="1" fillId="2" borderId="9" xfId="0" applyFont="1" applyFill="1" applyBorder="1"/>
    <xf numFmtId="0" fontId="1" fillId="2" borderId="10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49" fontId="0" fillId="0" borderId="11" xfId="0" applyNumberFormat="1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4" xfId="0" applyBorder="1"/>
    <xf numFmtId="0" fontId="1" fillId="0" borderId="14" xfId="0" applyFont="1" applyBorder="1"/>
    <xf numFmtId="49" fontId="0" fillId="0" borderId="15" xfId="0" applyNumberFormat="1" applyBorder="1" applyAlignment="1"/>
    <xf numFmtId="0" fontId="0" fillId="0" borderId="16" xfId="0" applyBorder="1"/>
    <xf numFmtId="49" fontId="0" fillId="0" borderId="17" xfId="0" applyNumberFormat="1" applyBorder="1" applyAlignment="1"/>
    <xf numFmtId="0" fontId="0" fillId="0" borderId="18" xfId="0" applyBorder="1" applyAlignment="1"/>
    <xf numFmtId="0" fontId="0" fillId="0" borderId="19" xfId="0" applyBorder="1" applyAlignment="1"/>
    <xf numFmtId="49" fontId="1" fillId="0" borderId="20" xfId="0" applyNumberFormat="1" applyFont="1" applyBorder="1" applyAlignment="1"/>
    <xf numFmtId="49" fontId="1" fillId="0" borderId="21" xfId="0" applyNumberFormat="1" applyFont="1" applyBorder="1" applyAlignme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22" xfId="0" applyFont="1" applyFill="1" applyBorder="1"/>
    <xf numFmtId="0" fontId="1" fillId="0" borderId="2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7" fontId="0" fillId="0" borderId="0" xfId="0" applyNumberFormat="1"/>
    <xf numFmtId="164" fontId="0" fillId="0" borderId="0" xfId="0" applyNumberFormat="1"/>
    <xf numFmtId="0" fontId="0" fillId="0" borderId="23" xfId="0" applyBorder="1"/>
    <xf numFmtId="0" fontId="0" fillId="0" borderId="24" xfId="0" applyBorder="1"/>
    <xf numFmtId="0" fontId="0" fillId="3" borderId="24" xfId="0" applyFill="1" applyBorder="1"/>
    <xf numFmtId="0" fontId="0" fillId="0" borderId="25" xfId="0" applyBorder="1"/>
    <xf numFmtId="165" fontId="0" fillId="0" borderId="23" xfId="0" applyNumberFormat="1" applyBorder="1"/>
    <xf numFmtId="165" fontId="0" fillId="0" borderId="24" xfId="0" applyNumberFormat="1" applyBorder="1"/>
    <xf numFmtId="165" fontId="0" fillId="3" borderId="24" xfId="0" applyNumberFormat="1" applyFill="1" applyBorder="1"/>
    <xf numFmtId="165" fontId="0" fillId="0" borderId="25" xfId="0" applyNumberFormat="1" applyBorder="1"/>
    <xf numFmtId="166" fontId="0" fillId="0" borderId="2" xfId="0" applyNumberFormat="1" applyBorder="1"/>
    <xf numFmtId="0" fontId="0" fillId="0" borderId="3" xfId="0" applyBorder="1" applyAlignment="1"/>
    <xf numFmtId="0" fontId="0" fillId="0" borderId="5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166" fontId="0" fillId="0" borderId="26" xfId="0" applyNumberFormat="1" applyBorder="1"/>
    <xf numFmtId="164" fontId="0" fillId="0" borderId="27" xfId="0" applyNumberFormat="1" applyBorder="1"/>
    <xf numFmtId="166" fontId="0" fillId="0" borderId="28" xfId="0" applyNumberFormat="1" applyBorder="1"/>
    <xf numFmtId="164" fontId="0" fillId="0" borderId="23" xfId="0" applyNumberFormat="1" applyBorder="1"/>
    <xf numFmtId="164" fontId="0" fillId="3" borderId="23" xfId="0" applyNumberFormat="1" applyFill="1" applyBorder="1"/>
    <xf numFmtId="166" fontId="0" fillId="3" borderId="25" xfId="0" applyNumberFormat="1" applyFill="1" applyBorder="1"/>
    <xf numFmtId="0" fontId="1" fillId="0" borderId="29" xfId="0" applyFont="1" applyBorder="1" applyAlignment="1"/>
    <xf numFmtId="0" fontId="0" fillId="0" borderId="30" xfId="0" applyBorder="1" applyAlignment="1"/>
    <xf numFmtId="0" fontId="0" fillId="0" borderId="31" xfId="0" applyBorder="1" applyAlignment="1"/>
    <xf numFmtId="167" fontId="2" fillId="0" borderId="2" xfId="0" applyNumberFormat="1" applyFont="1" applyBorder="1"/>
    <xf numFmtId="0" fontId="1" fillId="4" borderId="29" xfId="0" applyFont="1" applyFill="1" applyBorder="1" applyAlignment="1"/>
    <xf numFmtId="0" fontId="1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/>
    <xf numFmtId="0" fontId="1" fillId="0" borderId="22" xfId="0" applyFont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0" fillId="0" borderId="32" xfId="0" applyBorder="1" applyAlignment="1"/>
    <xf numFmtId="0" fontId="0" fillId="4" borderId="3" xfId="0" applyFill="1" applyBorder="1" applyAlignment="1"/>
    <xf numFmtId="0" fontId="0" fillId="4" borderId="5" xfId="0" applyFill="1" applyBorder="1"/>
    <xf numFmtId="0" fontId="0" fillId="4" borderId="33" xfId="0" applyFill="1" applyBorder="1" applyAlignment="1"/>
    <xf numFmtId="0" fontId="0" fillId="4" borderId="34" xfId="0" applyFill="1" applyBorder="1"/>
    <xf numFmtId="0" fontId="0" fillId="4" borderId="35" xfId="0" applyFill="1" applyBorder="1" applyAlignment="1"/>
    <xf numFmtId="0" fontId="0" fillId="0" borderId="36" xfId="0" applyBorder="1" applyAlignment="1"/>
    <xf numFmtId="0" fontId="0" fillId="4" borderId="37" xfId="0" applyFill="1" applyBorder="1"/>
    <xf numFmtId="166" fontId="0" fillId="0" borderId="23" xfId="0" applyNumberFormat="1" applyBorder="1"/>
    <xf numFmtId="166" fontId="0" fillId="0" borderId="38" xfId="0" applyNumberFormat="1" applyBorder="1"/>
    <xf numFmtId="166" fontId="0" fillId="0" borderId="39" xfId="0" applyNumberFormat="1" applyBorder="1"/>
    <xf numFmtId="164" fontId="0" fillId="0" borderId="38" xfId="0" applyNumberFormat="1" applyBorder="1"/>
    <xf numFmtId="164" fontId="0" fillId="0" borderId="39" xfId="0" applyNumberForma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28" xfId="0" applyBorder="1"/>
    <xf numFmtId="167" fontId="0" fillId="4" borderId="23" xfId="0" applyNumberFormat="1" applyFill="1" applyBorder="1"/>
    <xf numFmtId="167" fontId="0" fillId="0" borderId="40" xfId="0" applyNumberFormat="1" applyBorder="1"/>
    <xf numFmtId="167" fontId="0" fillId="0" borderId="28" xfId="0" applyNumberFormat="1" applyBorder="1"/>
    <xf numFmtId="167" fontId="0" fillId="0" borderId="23" xfId="0" applyNumberFormat="1" applyBorder="1"/>
    <xf numFmtId="164" fontId="0" fillId="4" borderId="23" xfId="0" applyNumberFormat="1" applyFill="1" applyBorder="1"/>
    <xf numFmtId="0" fontId="0" fillId="0" borderId="11" xfId="0" applyBorder="1" applyAlignment="1"/>
    <xf numFmtId="0" fontId="0" fillId="0" borderId="2" xfId="0" applyBorder="1"/>
    <xf numFmtId="0" fontId="0" fillId="0" borderId="12" xfId="0" applyBorder="1"/>
    <xf numFmtId="167" fontId="0" fillId="0" borderId="13" xfId="0" applyNumberFormat="1" applyBorder="1"/>
    <xf numFmtId="167" fontId="1" fillId="4" borderId="41" xfId="0" applyNumberFormat="1" applyFont="1" applyFill="1" applyBorder="1"/>
    <xf numFmtId="0" fontId="1" fillId="6" borderId="29" xfId="0" applyFont="1" applyFill="1" applyBorder="1" applyAlignment="1"/>
    <xf numFmtId="0" fontId="0" fillId="6" borderId="29" xfId="0" applyFill="1" applyBorder="1" applyAlignment="1"/>
    <xf numFmtId="0" fontId="0" fillId="6" borderId="31" xfId="0" applyFill="1" applyBorder="1"/>
    <xf numFmtId="164" fontId="0" fillId="0" borderId="2" xfId="0" applyNumberFormat="1" applyBorder="1"/>
    <xf numFmtId="167" fontId="0" fillId="6" borderId="23" xfId="0" applyNumberFormat="1" applyFill="1" applyBorder="1"/>
    <xf numFmtId="164" fontId="0" fillId="6" borderId="23" xfId="0" applyNumberFormat="1" applyFill="1" applyBorder="1"/>
    <xf numFmtId="167" fontId="1" fillId="6" borderId="41" xfId="0" applyNumberFormat="1" applyFont="1" applyFill="1" applyBorder="1"/>
    <xf numFmtId="0" fontId="1" fillId="7" borderId="29" xfId="0" applyFont="1" applyFill="1" applyBorder="1" applyAlignment="1"/>
    <xf numFmtId="0" fontId="0" fillId="7" borderId="3" xfId="0" applyFill="1" applyBorder="1" applyAlignment="1"/>
    <xf numFmtId="0" fontId="0" fillId="7" borderId="5" xfId="0" applyFill="1" applyBorder="1"/>
    <xf numFmtId="0" fontId="0" fillId="7" borderId="33" xfId="0" applyFill="1" applyBorder="1" applyAlignment="1"/>
    <xf numFmtId="0" fontId="0" fillId="7" borderId="34" xfId="0" applyFill="1" applyBorder="1"/>
    <xf numFmtId="0" fontId="0" fillId="7" borderId="35" xfId="0" applyFill="1" applyBorder="1" applyAlignment="1"/>
    <xf numFmtId="0" fontId="0" fillId="7" borderId="37" xfId="0" applyFill="1" applyBorder="1"/>
    <xf numFmtId="167" fontId="0" fillId="7" borderId="23" xfId="0" applyNumberFormat="1" applyFill="1" applyBorder="1"/>
    <xf numFmtId="164" fontId="0" fillId="7" borderId="23" xfId="0" applyNumberFormat="1" applyFill="1" applyBorder="1"/>
    <xf numFmtId="167" fontId="1" fillId="7" borderId="41" xfId="0" applyNumberFormat="1" applyFont="1" applyFill="1" applyBorder="1"/>
    <xf numFmtId="0" fontId="0" fillId="4" borderId="29" xfId="0" applyFill="1" applyBorder="1" applyAlignment="1"/>
    <xf numFmtId="0" fontId="0" fillId="4" borderId="31" xfId="0" applyFill="1" applyBorder="1"/>
    <xf numFmtId="167" fontId="3" fillId="0" borderId="2" xfId="0" applyNumberFormat="1" applyFont="1" applyBorder="1"/>
    <xf numFmtId="167" fontId="0" fillId="0" borderId="2" xfId="0" applyNumberFormat="1" applyBorder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/>
    <xf numFmtId="167" fontId="1" fillId="0" borderId="2" xfId="0" applyNumberFormat="1" applyFont="1" applyBorder="1"/>
    <xf numFmtId="0" fontId="0" fillId="0" borderId="11" xfId="0" applyBorder="1"/>
    <xf numFmtId="168" fontId="0" fillId="0" borderId="12" xfId="0" applyNumberFormat="1" applyBorder="1"/>
    <xf numFmtId="167" fontId="1" fillId="0" borderId="22" xfId="0" applyNumberFormat="1" applyFont="1" applyFill="1" applyBorder="1"/>
    <xf numFmtId="14" fontId="1" fillId="0" borderId="22" xfId="0" applyNumberFormat="1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49" fontId="0" fillId="0" borderId="23" xfId="0" applyNumberFormat="1" applyBorder="1"/>
    <xf numFmtId="49" fontId="0" fillId="0" borderId="24" xfId="0" applyNumberFormat="1" applyBorder="1"/>
    <xf numFmtId="49" fontId="0" fillId="0" borderId="42" xfId="0" applyNumberFormat="1" applyBorder="1"/>
    <xf numFmtId="49" fontId="0" fillId="0" borderId="2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>
      <selection sqref="A1:XFD1048576"/>
    </sheetView>
  </sheetViews>
  <sheetFormatPr defaultRowHeight="15"/>
  <cols>
    <col min="1" max="1" width="5.140625" style="1" bestFit="1" customWidth="1"/>
    <col min="2" max="2" width="51.5703125" bestFit="1" customWidth="1"/>
    <col min="3" max="3" width="46.85546875" bestFit="1" customWidth="1"/>
    <col min="4" max="4" width="3.85546875" bestFit="1" customWidth="1"/>
    <col min="5" max="5" width="11.140625" bestFit="1" customWidth="1"/>
    <col min="6" max="6" width="12.28515625" bestFit="1" customWidth="1"/>
    <col min="7" max="7" width="10.5703125" bestFit="1" customWidth="1"/>
    <col min="8" max="8" width="15.85546875" bestFit="1" customWidth="1"/>
    <col min="9" max="9" width="10.7109375" bestFit="1" customWidth="1"/>
    <col min="10" max="10" width="7.140625" bestFit="1" customWidth="1"/>
    <col min="11" max="12" width="8.140625" bestFit="1" customWidth="1"/>
  </cols>
  <sheetData>
    <row r="1" spans="1:12" ht="15.75" thickTop="1">
      <c r="A1" s="6" t="s">
        <v>0</v>
      </c>
      <c r="B1" s="7"/>
      <c r="C1" s="8" t="s">
        <v>1</v>
      </c>
      <c r="D1" s="8"/>
      <c r="E1" s="9"/>
      <c r="F1" s="10" t="s">
        <v>2</v>
      </c>
      <c r="G1" s="11"/>
      <c r="H1" s="12">
        <v>41387.443113425928</v>
      </c>
    </row>
    <row r="2" spans="1:12">
      <c r="A2" s="13" t="s">
        <v>3</v>
      </c>
      <c r="B2" s="14"/>
      <c r="C2" s="15" t="s">
        <v>4</v>
      </c>
      <c r="D2" s="15"/>
      <c r="E2" s="16"/>
      <c r="F2" s="17" t="s">
        <v>5</v>
      </c>
      <c r="G2" s="18"/>
      <c r="H2" s="19"/>
    </row>
    <row r="3" spans="1:12" ht="15.75" thickBot="1">
      <c r="A3" s="20" t="s">
        <v>6</v>
      </c>
      <c r="B3" s="21"/>
      <c r="C3" s="22">
        <v>1091</v>
      </c>
      <c r="D3" s="22"/>
      <c r="E3" s="23"/>
      <c r="F3" s="24" t="s">
        <v>7</v>
      </c>
      <c r="G3" s="25"/>
      <c r="H3" s="26" t="s">
        <v>8</v>
      </c>
    </row>
    <row r="4" spans="1:12" ht="16.5" thickTop="1" thickBot="1">
      <c r="A4" s="27"/>
      <c r="B4" s="28"/>
      <c r="C4" s="28"/>
      <c r="D4" s="28"/>
      <c r="E4" s="28"/>
      <c r="F4" s="28"/>
      <c r="G4" s="28"/>
      <c r="H4" s="29"/>
    </row>
    <row r="5" spans="1:12" ht="15.75" thickTop="1">
      <c r="A5" s="5" t="s">
        <v>9</v>
      </c>
      <c r="B5" s="2"/>
      <c r="C5" s="3"/>
      <c r="D5" s="3"/>
      <c r="E5" s="3"/>
      <c r="F5" s="3"/>
      <c r="G5" s="3"/>
      <c r="H5" s="4"/>
    </row>
    <row r="6" spans="1:12">
      <c r="A6" s="33"/>
      <c r="B6" s="30"/>
      <c r="C6" s="32" t="s">
        <v>10</v>
      </c>
      <c r="D6" s="31"/>
      <c r="E6" s="31"/>
      <c r="F6" s="31"/>
      <c r="G6" s="31"/>
      <c r="H6" s="34"/>
    </row>
    <row r="7" spans="1:12" ht="15.75" thickBot="1">
      <c r="A7" s="35"/>
      <c r="B7" s="36"/>
      <c r="C7" s="36"/>
      <c r="D7" s="36"/>
      <c r="E7" s="36"/>
      <c r="F7" s="36"/>
      <c r="G7" s="36"/>
      <c r="H7" s="37"/>
    </row>
    <row r="8" spans="1:12" ht="16.5" thickTop="1" thickBot="1">
      <c r="A8" s="38" t="s">
        <v>11</v>
      </c>
      <c r="B8" s="40" t="s">
        <v>12</v>
      </c>
      <c r="C8" s="41"/>
      <c r="D8" s="41"/>
      <c r="E8" s="41"/>
      <c r="F8" s="41"/>
      <c r="G8" s="41"/>
      <c r="H8" s="42"/>
    </row>
    <row r="9" spans="1:12" ht="16.5" thickTop="1" thickBot="1">
      <c r="A9" s="39"/>
      <c r="B9" s="43" t="s">
        <v>13</v>
      </c>
      <c r="C9" s="44" t="s">
        <v>14</v>
      </c>
      <c r="D9" s="44" t="s">
        <v>15</v>
      </c>
      <c r="E9" s="44" t="s">
        <v>16</v>
      </c>
      <c r="F9" s="44" t="s">
        <v>17</v>
      </c>
      <c r="G9" s="44" t="s">
        <v>18</v>
      </c>
      <c r="H9" s="44" t="s">
        <v>19</v>
      </c>
      <c r="I9" s="45" t="s">
        <v>20</v>
      </c>
      <c r="J9" s="45" t="s">
        <v>21</v>
      </c>
      <c r="K9" s="45" t="s">
        <v>22</v>
      </c>
      <c r="L9" t="s">
        <v>23</v>
      </c>
    </row>
    <row r="10" spans="1:12" ht="15.75" thickTop="1">
      <c r="A10" s="138" t="s">
        <v>24</v>
      </c>
      <c r="B10" s="49" t="s">
        <v>25</v>
      </c>
      <c r="C10" s="49" t="s">
        <v>26</v>
      </c>
      <c r="D10" s="49"/>
      <c r="E10" s="53">
        <v>2.64</v>
      </c>
      <c r="F10" s="53">
        <v>1.98</v>
      </c>
      <c r="G10" s="53"/>
      <c r="H10" s="53">
        <f>E10*F10</f>
        <v>5.2271999999999998</v>
      </c>
      <c r="I10" s="46">
        <v>41381</v>
      </c>
      <c r="J10" t="s">
        <v>27</v>
      </c>
      <c r="K10" s="47">
        <v>0.08</v>
      </c>
      <c r="L10" s="48">
        <v>0.25</v>
      </c>
    </row>
    <row r="11" spans="1:12">
      <c r="A11" s="139" t="s">
        <v>28</v>
      </c>
      <c r="B11" s="50" t="s">
        <v>29</v>
      </c>
      <c r="C11" s="50" t="s">
        <v>26</v>
      </c>
      <c r="D11" s="50"/>
      <c r="E11" s="54">
        <v>2.64</v>
      </c>
      <c r="F11" s="54">
        <v>7.4999999999999997E-2</v>
      </c>
      <c r="G11" s="54"/>
      <c r="H11" s="54">
        <f>E11*F11</f>
        <v>0.19800000000000001</v>
      </c>
      <c r="I11" s="46">
        <v>41381</v>
      </c>
      <c r="J11" t="s">
        <v>27</v>
      </c>
      <c r="K11" s="47">
        <v>0.08</v>
      </c>
      <c r="L11" s="48">
        <v>0.25</v>
      </c>
    </row>
    <row r="12" spans="1:12">
      <c r="A12" s="139" t="s">
        <v>30</v>
      </c>
      <c r="B12" s="50" t="s">
        <v>31</v>
      </c>
      <c r="C12" s="50" t="s">
        <v>26</v>
      </c>
      <c r="D12" s="50"/>
      <c r="E12" s="54">
        <v>100</v>
      </c>
      <c r="F12" s="54">
        <v>1.3439E-2</v>
      </c>
      <c r="G12" s="54"/>
      <c r="H12" s="54">
        <f>E12*F12</f>
        <v>1.3438999999999999</v>
      </c>
      <c r="I12" s="46">
        <v>41381</v>
      </c>
      <c r="J12" t="s">
        <v>27</v>
      </c>
      <c r="K12" s="47">
        <v>0.08</v>
      </c>
      <c r="L12" s="48">
        <v>0.25</v>
      </c>
    </row>
    <row r="13" spans="1:12">
      <c r="A13" s="139" t="s">
        <v>32</v>
      </c>
      <c r="B13" s="51" t="s">
        <v>33</v>
      </c>
      <c r="C13" s="51" t="s">
        <v>26</v>
      </c>
      <c r="D13" s="51"/>
      <c r="E13" s="55">
        <v>100</v>
      </c>
      <c r="F13" s="55">
        <v>1.24928E-3</v>
      </c>
      <c r="G13" s="55"/>
      <c r="H13" s="55">
        <f>E13*F13</f>
        <v>0.124928</v>
      </c>
      <c r="I13" s="46">
        <v>41381</v>
      </c>
      <c r="J13" t="s">
        <v>27</v>
      </c>
      <c r="K13" s="47">
        <v>0.08</v>
      </c>
      <c r="L13" s="48">
        <v>0.25</v>
      </c>
    </row>
    <row r="14" spans="1:12">
      <c r="A14" s="139">
        <v>2</v>
      </c>
      <c r="B14" s="50" t="s">
        <v>34</v>
      </c>
      <c r="C14" s="50" t="s">
        <v>35</v>
      </c>
      <c r="D14" s="50"/>
      <c r="E14" s="54">
        <v>100</v>
      </c>
      <c r="F14" s="54">
        <v>18.112120000000001</v>
      </c>
      <c r="G14" s="54"/>
      <c r="H14" s="54">
        <v>0.28979392000000004</v>
      </c>
      <c r="I14" s="46">
        <v>41292</v>
      </c>
      <c r="J14" t="s">
        <v>36</v>
      </c>
      <c r="K14" s="47">
        <v>1.67</v>
      </c>
      <c r="L14" s="48">
        <v>0</v>
      </c>
    </row>
    <row r="15" spans="1:12">
      <c r="A15" s="139">
        <v>3</v>
      </c>
      <c r="B15" s="50" t="s">
        <v>37</v>
      </c>
      <c r="C15" s="50" t="s">
        <v>38</v>
      </c>
      <c r="D15" s="50"/>
      <c r="E15" s="54">
        <v>100</v>
      </c>
      <c r="F15" s="54">
        <v>83.047718000000003</v>
      </c>
      <c r="G15" s="54"/>
      <c r="H15" s="54">
        <v>14.5665697372</v>
      </c>
      <c r="I15" s="46">
        <v>41292</v>
      </c>
      <c r="J15" t="s">
        <v>36</v>
      </c>
      <c r="K15" s="47">
        <v>1.67</v>
      </c>
      <c r="L15" s="48">
        <v>0</v>
      </c>
    </row>
    <row r="16" spans="1:12">
      <c r="A16" s="139">
        <v>4</v>
      </c>
      <c r="B16" s="51" t="s">
        <v>39</v>
      </c>
      <c r="C16" s="51" t="s">
        <v>40</v>
      </c>
      <c r="D16" s="51"/>
      <c r="E16" s="55">
        <v>100</v>
      </c>
      <c r="F16" s="55">
        <v>253.76000000000002</v>
      </c>
      <c r="G16" s="55"/>
      <c r="H16" s="55">
        <f>E16*F16</f>
        <v>25376.000000000004</v>
      </c>
      <c r="I16" s="46">
        <v>41379</v>
      </c>
      <c r="J16" t="s">
        <v>36</v>
      </c>
      <c r="K16" s="47">
        <v>80</v>
      </c>
      <c r="L16" s="48">
        <v>0</v>
      </c>
    </row>
    <row r="17" spans="1:12">
      <c r="A17" s="139">
        <v>5</v>
      </c>
      <c r="B17" s="50" t="s">
        <v>41</v>
      </c>
      <c r="C17" s="50" t="s">
        <v>42</v>
      </c>
      <c r="D17" s="50"/>
      <c r="E17" s="54">
        <v>100</v>
      </c>
      <c r="F17" s="54">
        <v>11.419995</v>
      </c>
      <c r="G17" s="54"/>
      <c r="H17" s="54">
        <v>3.8348343209999998</v>
      </c>
      <c r="I17" s="46">
        <v>41373</v>
      </c>
      <c r="J17" t="s">
        <v>27</v>
      </c>
      <c r="K17" s="47">
        <v>11.42</v>
      </c>
      <c r="L17" s="48">
        <v>0</v>
      </c>
    </row>
    <row r="18" spans="1:12">
      <c r="A18" s="139">
        <v>6</v>
      </c>
      <c r="B18" s="50" t="s">
        <v>41</v>
      </c>
      <c r="C18" s="50" t="s">
        <v>43</v>
      </c>
      <c r="D18" s="50"/>
      <c r="E18" s="54">
        <v>100</v>
      </c>
      <c r="F18" s="54"/>
      <c r="G18" s="54"/>
      <c r="H18" s="54"/>
    </row>
    <row r="19" spans="1:12">
      <c r="A19" s="139" t="s">
        <v>44</v>
      </c>
      <c r="B19" s="50" t="s">
        <v>45</v>
      </c>
      <c r="C19" s="50" t="s">
        <v>46</v>
      </c>
      <c r="D19" s="50"/>
      <c r="E19" s="54">
        <v>0.33579999999999999</v>
      </c>
      <c r="F19" s="54">
        <v>11.419995</v>
      </c>
      <c r="G19" s="54"/>
      <c r="H19" s="54">
        <f>E19*F19</f>
        <v>3.8348343209999998</v>
      </c>
      <c r="I19" s="46">
        <v>41373</v>
      </c>
      <c r="J19" t="s">
        <v>27</v>
      </c>
      <c r="K19" s="47">
        <v>11.42</v>
      </c>
      <c r="L19" s="48">
        <v>0</v>
      </c>
    </row>
    <row r="20" spans="1:12">
      <c r="A20" s="139">
        <v>7</v>
      </c>
      <c r="B20" s="50" t="s">
        <v>47</v>
      </c>
      <c r="C20" s="50" t="s">
        <v>48</v>
      </c>
      <c r="D20" s="50"/>
      <c r="E20" s="54">
        <v>100</v>
      </c>
      <c r="F20" s="54"/>
      <c r="G20" s="54"/>
      <c r="H20" s="54"/>
    </row>
    <row r="21" spans="1:12">
      <c r="A21" s="139" t="s">
        <v>49</v>
      </c>
      <c r="B21" s="50" t="s">
        <v>50</v>
      </c>
      <c r="C21" s="50" t="s">
        <v>51</v>
      </c>
      <c r="D21" s="50"/>
      <c r="E21" s="54">
        <v>100</v>
      </c>
      <c r="F21" s="54"/>
      <c r="G21" s="54"/>
      <c r="H21" s="54"/>
    </row>
    <row r="22" spans="1:12">
      <c r="A22" s="139" t="s">
        <v>52</v>
      </c>
      <c r="B22" s="51" t="s">
        <v>53</v>
      </c>
      <c r="C22" s="51" t="s">
        <v>54</v>
      </c>
      <c r="D22" s="51"/>
      <c r="E22" s="55">
        <v>0.4758</v>
      </c>
      <c r="F22" s="55">
        <v>24.709880000000002</v>
      </c>
      <c r="G22" s="55"/>
      <c r="H22" s="55">
        <f>E22*F22</f>
        <v>11.756960904000001</v>
      </c>
      <c r="I22" s="46">
        <v>41292</v>
      </c>
      <c r="J22" t="s">
        <v>36</v>
      </c>
      <c r="K22" s="47">
        <v>7.79</v>
      </c>
      <c r="L22" s="48">
        <v>0</v>
      </c>
    </row>
    <row r="23" spans="1:12">
      <c r="A23" s="139" t="s">
        <v>55</v>
      </c>
      <c r="B23" s="50" t="s">
        <v>56</v>
      </c>
      <c r="C23" s="50" t="s">
        <v>57</v>
      </c>
      <c r="D23" s="50"/>
      <c r="E23" s="54">
        <v>1.25</v>
      </c>
      <c r="F23" s="54">
        <v>11.62</v>
      </c>
      <c r="G23" s="54"/>
      <c r="H23" s="54">
        <f>E23*F23</f>
        <v>14.524999999999999</v>
      </c>
      <c r="I23" s="46">
        <v>41355</v>
      </c>
      <c r="J23" t="s">
        <v>27</v>
      </c>
      <c r="K23" s="47">
        <v>11.62</v>
      </c>
      <c r="L23" s="48">
        <v>0</v>
      </c>
    </row>
    <row r="24" spans="1:12">
      <c r="A24" s="139" t="s">
        <v>58</v>
      </c>
      <c r="B24" s="50" t="s">
        <v>59</v>
      </c>
      <c r="C24" s="50" t="s">
        <v>60</v>
      </c>
      <c r="D24" s="50"/>
      <c r="E24" s="54">
        <v>0.04</v>
      </c>
      <c r="F24" s="54">
        <v>14.2</v>
      </c>
      <c r="G24" s="54"/>
      <c r="H24" s="54">
        <f>E24*F24</f>
        <v>0.56799999999999995</v>
      </c>
      <c r="I24" s="46">
        <v>41381</v>
      </c>
      <c r="J24" t="s">
        <v>27</v>
      </c>
      <c r="K24" s="47">
        <v>14.2</v>
      </c>
      <c r="L24" s="48">
        <v>0</v>
      </c>
    </row>
    <row r="25" spans="1:12">
      <c r="A25" s="139">
        <v>8</v>
      </c>
      <c r="B25" s="51" t="s">
        <v>61</v>
      </c>
      <c r="C25" s="51" t="s">
        <v>62</v>
      </c>
      <c r="D25" s="51"/>
      <c r="E25" s="55">
        <v>0.12123390000000001</v>
      </c>
      <c r="F25" s="55">
        <v>36.319400000000002</v>
      </c>
      <c r="G25" s="55"/>
      <c r="H25" s="55">
        <f>E25*F25</f>
        <v>4.4031425076600001</v>
      </c>
      <c r="I25" s="46">
        <v>41379</v>
      </c>
      <c r="J25" t="s">
        <v>36</v>
      </c>
      <c r="K25" s="47">
        <v>11.45</v>
      </c>
    </row>
    <row r="26" spans="1:12">
      <c r="A26" s="139">
        <v>9</v>
      </c>
      <c r="B26" s="51" t="s">
        <v>61</v>
      </c>
      <c r="C26" s="51" t="s">
        <v>62</v>
      </c>
      <c r="D26" s="51"/>
      <c r="E26" s="55">
        <v>0.12123390000000001</v>
      </c>
      <c r="F26" s="55">
        <v>36.319400000000002</v>
      </c>
      <c r="G26" s="55"/>
      <c r="H26" s="55">
        <f>E26*F26</f>
        <v>4.4031425076600001</v>
      </c>
      <c r="I26" s="46">
        <v>41379</v>
      </c>
      <c r="J26" t="s">
        <v>36</v>
      </c>
      <c r="K26" s="47">
        <v>11.45</v>
      </c>
    </row>
    <row r="27" spans="1:12" ht="15.75" thickBot="1">
      <c r="A27" s="139">
        <v>10</v>
      </c>
      <c r="B27" s="52" t="s">
        <v>63</v>
      </c>
      <c r="C27" s="52"/>
      <c r="D27" s="52"/>
      <c r="E27" s="56">
        <v>100</v>
      </c>
      <c r="F27" s="56">
        <v>0</v>
      </c>
      <c r="G27" s="56"/>
      <c r="H27" s="56">
        <f>E27*F27</f>
        <v>0</v>
      </c>
    </row>
    <row r="28" spans="1:12" ht="15.75" thickTop="1">
      <c r="A28" s="140"/>
      <c r="B28" s="58" t="s">
        <v>64</v>
      </c>
      <c r="C28" s="2"/>
      <c r="D28" s="2"/>
      <c r="E28" s="2"/>
      <c r="F28" s="2"/>
      <c r="G28" s="59"/>
      <c r="H28" s="63">
        <f>SUM(H10:H27)</f>
        <v>25441.076306218521</v>
      </c>
    </row>
    <row r="29" spans="1:12">
      <c r="A29" s="140"/>
      <c r="B29" s="60" t="s">
        <v>65</v>
      </c>
      <c r="C29" s="30"/>
      <c r="D29" s="30"/>
      <c r="E29" s="30"/>
      <c r="F29" s="30"/>
      <c r="G29" s="61"/>
      <c r="H29" s="64">
        <v>0.1067</v>
      </c>
    </row>
    <row r="30" spans="1:12" ht="15.75" thickBot="1">
      <c r="A30" s="140"/>
      <c r="B30" s="62" t="s">
        <v>66</v>
      </c>
      <c r="C30" s="36"/>
      <c r="D30" s="36"/>
      <c r="E30" s="36"/>
      <c r="F30" s="36"/>
      <c r="G30" s="37"/>
      <c r="H30" s="65">
        <f>(H28* H29)</f>
        <v>2714.5628418735164</v>
      </c>
    </row>
    <row r="31" spans="1:12" ht="15.75" thickTop="1">
      <c r="A31" s="140"/>
      <c r="B31" s="58" t="s">
        <v>67</v>
      </c>
      <c r="C31" s="2"/>
      <c r="D31" s="2"/>
      <c r="E31" s="2"/>
      <c r="F31" s="2"/>
      <c r="G31" s="59"/>
      <c r="H31" s="67">
        <v>0.1721</v>
      </c>
    </row>
    <row r="32" spans="1:12" ht="15.75" thickBot="1">
      <c r="A32" s="140"/>
      <c r="B32" s="62" t="s">
        <v>68</v>
      </c>
      <c r="C32" s="36"/>
      <c r="D32" s="36"/>
      <c r="E32" s="36"/>
      <c r="F32" s="36"/>
      <c r="G32" s="37"/>
      <c r="H32" s="68">
        <f>(H13+H16+H22+H25+H26)* H31</f>
        <v>4370.7700347315158</v>
      </c>
    </row>
    <row r="33" spans="1:8" ht="17.25" thickTop="1" thickBot="1">
      <c r="A33" s="140"/>
      <c r="B33" s="69" t="s">
        <v>12</v>
      </c>
      <c r="C33" s="70"/>
      <c r="D33" s="70"/>
      <c r="E33" s="70"/>
      <c r="F33" s="70"/>
      <c r="G33" s="71"/>
      <c r="H33" s="72">
        <f>(H28+H30+H32)</f>
        <v>32526.409182823554</v>
      </c>
    </row>
    <row r="34" spans="1:8" ht="16.5" thickTop="1" thickBot="1">
      <c r="A34" s="140"/>
      <c r="B34" s="73" t="s">
        <v>69</v>
      </c>
      <c r="C34" s="70"/>
      <c r="D34" s="71"/>
      <c r="E34" s="74" t="s">
        <v>70</v>
      </c>
      <c r="F34" s="75"/>
      <c r="G34" s="76"/>
      <c r="H34" s="77" t="s">
        <v>71</v>
      </c>
    </row>
    <row r="35" spans="1:8" ht="16.5" thickTop="1" thickBot="1">
      <c r="A35" s="140"/>
      <c r="B35" s="78" t="s">
        <v>72</v>
      </c>
      <c r="C35" s="78"/>
      <c r="D35" s="78"/>
      <c r="E35" s="79" t="s">
        <v>73</v>
      </c>
      <c r="F35" s="80" t="s">
        <v>74</v>
      </c>
      <c r="G35" s="80" t="s">
        <v>75</v>
      </c>
      <c r="H35" s="79" t="s">
        <v>73</v>
      </c>
    </row>
    <row r="36" spans="1:8" ht="15.75" thickTop="1">
      <c r="A36" s="140">
        <v>1</v>
      </c>
      <c r="B36" s="82" t="s">
        <v>76</v>
      </c>
      <c r="C36" s="2"/>
      <c r="D36" s="83" t="s">
        <v>77</v>
      </c>
      <c r="E36" s="89">
        <v>31.55</v>
      </c>
      <c r="F36" s="66">
        <v>1</v>
      </c>
      <c r="G36" s="89">
        <f>(E36* F36)</f>
        <v>31.55</v>
      </c>
      <c r="H36" s="49"/>
    </row>
    <row r="37" spans="1:8">
      <c r="A37" s="140">
        <v>2</v>
      </c>
      <c r="B37" s="84" t="s">
        <v>78</v>
      </c>
      <c r="C37" s="81"/>
      <c r="D37" s="85" t="s">
        <v>77</v>
      </c>
      <c r="E37" s="90">
        <v>0</v>
      </c>
      <c r="F37" s="92">
        <v>1</v>
      </c>
      <c r="G37" s="90">
        <f>(E37* F37)</f>
        <v>0</v>
      </c>
      <c r="H37" s="94"/>
    </row>
    <row r="38" spans="1:8">
      <c r="A38" s="140">
        <v>3</v>
      </c>
      <c r="B38" s="84" t="s">
        <v>79</v>
      </c>
      <c r="C38" s="81"/>
      <c r="D38" s="85" t="s">
        <v>77</v>
      </c>
      <c r="E38" s="90">
        <v>32.36</v>
      </c>
      <c r="F38" s="92">
        <v>1</v>
      </c>
      <c r="G38" s="90">
        <f>(E38* F38)</f>
        <v>32.36</v>
      </c>
      <c r="H38" s="94"/>
    </row>
    <row r="39" spans="1:8">
      <c r="A39" s="140">
        <v>4</v>
      </c>
      <c r="B39" s="84" t="s">
        <v>80</v>
      </c>
      <c r="C39" s="81"/>
      <c r="D39" s="85" t="s">
        <v>77</v>
      </c>
      <c r="E39" s="90">
        <v>23.5</v>
      </c>
      <c r="F39" s="92">
        <v>1</v>
      </c>
      <c r="G39" s="90">
        <f>(E39* F39)</f>
        <v>23.5</v>
      </c>
      <c r="H39" s="94"/>
    </row>
    <row r="40" spans="1:8">
      <c r="A40" s="140">
        <v>5</v>
      </c>
      <c r="B40" s="84" t="s">
        <v>81</v>
      </c>
      <c r="C40" s="81"/>
      <c r="D40" s="85" t="s">
        <v>77</v>
      </c>
      <c r="E40" s="90">
        <v>54.48</v>
      </c>
      <c r="F40" s="92">
        <v>1</v>
      </c>
      <c r="G40" s="90">
        <f>(E40* F40)</f>
        <v>54.48</v>
      </c>
      <c r="H40" s="94"/>
    </row>
    <row r="41" spans="1:8">
      <c r="A41" s="140">
        <v>6</v>
      </c>
      <c r="B41" s="84" t="s">
        <v>82</v>
      </c>
      <c r="C41" s="81"/>
      <c r="D41" s="85" t="s">
        <v>77</v>
      </c>
      <c r="E41" s="90">
        <v>0</v>
      </c>
      <c r="F41" s="92">
        <v>1</v>
      </c>
      <c r="G41" s="90">
        <f>(E41* F41)</f>
        <v>0</v>
      </c>
      <c r="H41" s="94"/>
    </row>
    <row r="42" spans="1:8">
      <c r="A42" s="140">
        <v>7</v>
      </c>
      <c r="B42" s="84" t="s">
        <v>83</v>
      </c>
      <c r="C42" s="81"/>
      <c r="D42" s="85" t="s">
        <v>84</v>
      </c>
      <c r="E42" s="90">
        <v>27.17</v>
      </c>
      <c r="F42" s="92">
        <v>1</v>
      </c>
      <c r="G42" s="90">
        <f>(E42* F42)</f>
        <v>27.17</v>
      </c>
      <c r="H42" s="94"/>
    </row>
    <row r="43" spans="1:8">
      <c r="A43" s="140">
        <v>8</v>
      </c>
      <c r="B43" s="84" t="s">
        <v>85</v>
      </c>
      <c r="C43" s="81"/>
      <c r="D43" s="85" t="s">
        <v>86</v>
      </c>
      <c r="E43" s="90">
        <v>13.86</v>
      </c>
      <c r="F43" s="92">
        <v>1</v>
      </c>
      <c r="G43" s="90">
        <f>(E43* F43)</f>
        <v>13.86</v>
      </c>
      <c r="H43" s="94"/>
    </row>
    <row r="44" spans="1:8">
      <c r="A44" s="140">
        <v>9</v>
      </c>
      <c r="B44" s="84" t="s">
        <v>87</v>
      </c>
      <c r="C44" s="81"/>
      <c r="D44" s="85" t="s">
        <v>86</v>
      </c>
      <c r="E44" s="90">
        <v>10.34</v>
      </c>
      <c r="F44" s="92">
        <v>1</v>
      </c>
      <c r="G44" s="90">
        <f>(E44* F44)</f>
        <v>10.34</v>
      </c>
      <c r="H44" s="94"/>
    </row>
    <row r="45" spans="1:8">
      <c r="A45" s="140">
        <v>10</v>
      </c>
      <c r="B45" s="84" t="s">
        <v>88</v>
      </c>
      <c r="C45" s="81"/>
      <c r="D45" s="85" t="s">
        <v>86</v>
      </c>
      <c r="E45" s="90">
        <v>5.32</v>
      </c>
      <c r="F45" s="92">
        <v>1</v>
      </c>
      <c r="G45" s="90">
        <f>(E45* F45)</f>
        <v>5.32</v>
      </c>
      <c r="H45" s="94"/>
    </row>
    <row r="46" spans="1:8">
      <c r="A46" s="140">
        <v>11</v>
      </c>
      <c r="B46" s="84" t="s">
        <v>89</v>
      </c>
      <c r="C46" s="81"/>
      <c r="D46" s="85" t="s">
        <v>86</v>
      </c>
      <c r="E46" s="90">
        <v>21.5</v>
      </c>
      <c r="F46" s="92">
        <v>1</v>
      </c>
      <c r="G46" s="90">
        <f>(E46* F46)</f>
        <v>21.5</v>
      </c>
      <c r="H46" s="94"/>
    </row>
    <row r="47" spans="1:8" ht="15.75" thickBot="1">
      <c r="A47" s="140">
        <v>12</v>
      </c>
      <c r="B47" s="86" t="s">
        <v>90</v>
      </c>
      <c r="C47" s="87"/>
      <c r="D47" s="88" t="s">
        <v>86</v>
      </c>
      <c r="E47" s="91">
        <v>0</v>
      </c>
      <c r="F47" s="93">
        <v>1</v>
      </c>
      <c r="G47" s="91">
        <f>(E47* F47)</f>
        <v>0</v>
      </c>
      <c r="H47" s="95"/>
    </row>
    <row r="48" spans="1:8" ht="15.75" thickTop="1">
      <c r="A48" s="140"/>
      <c r="B48" s="58" t="s">
        <v>91</v>
      </c>
      <c r="C48" s="2"/>
      <c r="D48" s="59"/>
      <c r="E48" s="49"/>
      <c r="F48" s="49"/>
      <c r="G48" s="98">
        <f>SUM(G36:G47)</f>
        <v>220.08</v>
      </c>
      <c r="H48" s="101">
        <f>SUM(H36:H47)</f>
        <v>0</v>
      </c>
    </row>
    <row r="49" spans="1:8">
      <c r="A49" s="140"/>
      <c r="B49" s="60" t="s">
        <v>92</v>
      </c>
      <c r="C49" s="30"/>
      <c r="D49" s="61"/>
      <c r="E49" s="96"/>
      <c r="F49" s="96"/>
      <c r="G49" s="99">
        <v>8.433333333333333E-2</v>
      </c>
      <c r="H49" s="99">
        <f>SUM(H36:H47)</f>
        <v>0</v>
      </c>
    </row>
    <row r="50" spans="1:8" ht="15.75" thickBot="1">
      <c r="A50" s="140"/>
      <c r="B50" s="62" t="s">
        <v>93</v>
      </c>
      <c r="C50" s="36"/>
      <c r="D50" s="37"/>
      <c r="E50" s="97"/>
      <c r="F50" s="97"/>
      <c r="G50" s="100">
        <f>(G48* G49)</f>
        <v>18.560079999999999</v>
      </c>
      <c r="H50" s="100">
        <f>(H48* H49)</f>
        <v>0</v>
      </c>
    </row>
    <row r="51" spans="1:8" ht="15.75" thickTop="1">
      <c r="A51" s="140"/>
      <c r="B51" s="58" t="s">
        <v>94</v>
      </c>
      <c r="C51" s="2"/>
      <c r="D51" s="59"/>
      <c r="E51" s="49"/>
      <c r="F51" s="49"/>
      <c r="G51" s="102">
        <v>2.1949999999999998</v>
      </c>
      <c r="H51" s="101">
        <f>(H49* H50)</f>
        <v>0</v>
      </c>
    </row>
    <row r="52" spans="1:8" ht="15.75" thickBot="1">
      <c r="A52" s="140"/>
      <c r="B52" s="62" t="s">
        <v>95</v>
      </c>
      <c r="C52" s="36"/>
      <c r="D52" s="37"/>
      <c r="E52" s="97"/>
      <c r="F52" s="97"/>
      <c r="G52" s="100">
        <f>(G50* G51)</f>
        <v>40.739375599999995</v>
      </c>
      <c r="H52" s="100">
        <f>(H50/100 * H51)</f>
        <v>0</v>
      </c>
    </row>
    <row r="53" spans="1:8" ht="16.5" thickTop="1" thickBot="1">
      <c r="A53" s="140"/>
      <c r="B53" s="103" t="s">
        <v>96</v>
      </c>
      <c r="C53" s="28"/>
      <c r="D53" s="29"/>
      <c r="E53" s="104"/>
      <c r="F53" s="105"/>
      <c r="G53" s="107">
        <f>(G50+ G52)</f>
        <v>59.299455599999995</v>
      </c>
      <c r="H53" s="106">
        <f>(H50+ H52)</f>
        <v>0</v>
      </c>
    </row>
    <row r="54" spans="1:8" ht="16.5" thickTop="1" thickBot="1">
      <c r="A54" s="140"/>
      <c r="B54" s="108" t="s">
        <v>69</v>
      </c>
      <c r="C54" s="70"/>
      <c r="D54" s="71"/>
      <c r="E54" s="74" t="s">
        <v>70</v>
      </c>
      <c r="F54" s="75"/>
      <c r="G54" s="76"/>
      <c r="H54" s="77" t="s">
        <v>71</v>
      </c>
    </row>
    <row r="55" spans="1:8" ht="16.5" thickTop="1" thickBot="1">
      <c r="A55" s="140"/>
      <c r="B55" s="78" t="s">
        <v>72</v>
      </c>
      <c r="C55" s="78"/>
      <c r="D55" s="78"/>
      <c r="E55" s="79" t="s">
        <v>73</v>
      </c>
      <c r="F55" s="80" t="s">
        <v>74</v>
      </c>
      <c r="G55" s="80" t="s">
        <v>75</v>
      </c>
      <c r="H55" s="79" t="s">
        <v>73</v>
      </c>
    </row>
    <row r="56" spans="1:8" ht="16.5" thickTop="1" thickBot="1">
      <c r="A56" s="140">
        <v>1</v>
      </c>
      <c r="B56" s="109" t="s">
        <v>97</v>
      </c>
      <c r="C56" s="70"/>
      <c r="D56" s="110" t="s">
        <v>77</v>
      </c>
      <c r="E56" s="57">
        <v>0</v>
      </c>
      <c r="F56" s="111">
        <v>1</v>
      </c>
      <c r="G56" s="57">
        <f>(E56* F56)</f>
        <v>0</v>
      </c>
      <c r="H56" s="104"/>
    </row>
    <row r="57" spans="1:8" ht="15.75" thickTop="1">
      <c r="A57" s="140"/>
      <c r="B57" s="58" t="s">
        <v>91</v>
      </c>
      <c r="C57" s="2"/>
      <c r="D57" s="59"/>
      <c r="E57" s="49"/>
      <c r="F57" s="49"/>
      <c r="G57" s="112">
        <f>SUM(G56:G56)</f>
        <v>0</v>
      </c>
      <c r="H57" s="101">
        <f>SUM(H56:H56)</f>
        <v>0</v>
      </c>
    </row>
    <row r="58" spans="1:8">
      <c r="A58" s="140"/>
      <c r="B58" s="60" t="s">
        <v>98</v>
      </c>
      <c r="C58" s="30"/>
      <c r="D58" s="61"/>
      <c r="E58" s="96"/>
      <c r="F58" s="96"/>
      <c r="G58" s="99">
        <v>0</v>
      </c>
      <c r="H58" s="99">
        <f>SUM(H56:H56)</f>
        <v>0</v>
      </c>
    </row>
    <row r="59" spans="1:8" ht="15.75" thickBot="1">
      <c r="A59" s="140"/>
      <c r="B59" s="62" t="s">
        <v>93</v>
      </c>
      <c r="C59" s="36"/>
      <c r="D59" s="37"/>
      <c r="E59" s="97"/>
      <c r="F59" s="97"/>
      <c r="G59" s="100">
        <f>(G57* G58)</f>
        <v>0</v>
      </c>
      <c r="H59" s="100">
        <f>(H57* H58)</f>
        <v>0</v>
      </c>
    </row>
    <row r="60" spans="1:8" ht="15.75" thickTop="1">
      <c r="A60" s="140"/>
      <c r="B60" s="58" t="s">
        <v>94</v>
      </c>
      <c r="C60" s="2"/>
      <c r="D60" s="59"/>
      <c r="E60" s="49"/>
      <c r="F60" s="49"/>
      <c r="G60" s="113">
        <v>0</v>
      </c>
      <c r="H60" s="101">
        <f>(H58* H59)</f>
        <v>0</v>
      </c>
    </row>
    <row r="61" spans="1:8" ht="15.75" thickBot="1">
      <c r="A61" s="140"/>
      <c r="B61" s="62" t="s">
        <v>95</v>
      </c>
      <c r="C61" s="36"/>
      <c r="D61" s="37"/>
      <c r="E61" s="97"/>
      <c r="F61" s="97"/>
      <c r="G61" s="100">
        <f>(G59* G60)</f>
        <v>0</v>
      </c>
      <c r="H61" s="100">
        <f>(H59/100 * H60)</f>
        <v>0</v>
      </c>
    </row>
    <row r="62" spans="1:8" ht="16.5" thickTop="1" thickBot="1">
      <c r="A62" s="140"/>
      <c r="B62" s="103" t="s">
        <v>96</v>
      </c>
      <c r="C62" s="28"/>
      <c r="D62" s="29"/>
      <c r="E62" s="104"/>
      <c r="F62" s="105"/>
      <c r="G62" s="114">
        <f>(G59+ G61)</f>
        <v>0</v>
      </c>
      <c r="H62" s="106">
        <f>(H59+ H61)</f>
        <v>0</v>
      </c>
    </row>
    <row r="63" spans="1:8" ht="16.5" thickTop="1" thickBot="1">
      <c r="A63" s="140"/>
      <c r="B63" s="115" t="s">
        <v>69</v>
      </c>
      <c r="C63" s="70"/>
      <c r="D63" s="71"/>
      <c r="E63" s="74" t="s">
        <v>70</v>
      </c>
      <c r="F63" s="75"/>
      <c r="G63" s="76"/>
      <c r="H63" s="77" t="s">
        <v>71</v>
      </c>
    </row>
    <row r="64" spans="1:8" ht="16.5" thickTop="1" thickBot="1">
      <c r="A64" s="140"/>
      <c r="B64" s="78" t="s">
        <v>72</v>
      </c>
      <c r="C64" s="78"/>
      <c r="D64" s="78"/>
      <c r="E64" s="79" t="s">
        <v>73</v>
      </c>
      <c r="F64" s="80" t="s">
        <v>74</v>
      </c>
      <c r="G64" s="80" t="s">
        <v>75</v>
      </c>
      <c r="H64" s="79" t="s">
        <v>73</v>
      </c>
    </row>
    <row r="65" spans="1:8" ht="15.75" thickTop="1">
      <c r="A65" s="140">
        <v>1</v>
      </c>
      <c r="B65" s="116" t="s">
        <v>99</v>
      </c>
      <c r="C65" s="2"/>
      <c r="D65" s="117" t="s">
        <v>77</v>
      </c>
      <c r="E65" s="89">
        <v>0</v>
      </c>
      <c r="F65" s="66">
        <v>1</v>
      </c>
      <c r="G65" s="89">
        <f>(E65* F65)</f>
        <v>0</v>
      </c>
      <c r="H65" s="49"/>
    </row>
    <row r="66" spans="1:8">
      <c r="A66" s="140">
        <v>2</v>
      </c>
      <c r="B66" s="118" t="s">
        <v>100</v>
      </c>
      <c r="C66" s="81"/>
      <c r="D66" s="119" t="s">
        <v>77</v>
      </c>
      <c r="E66" s="90">
        <v>0</v>
      </c>
      <c r="F66" s="92">
        <v>1</v>
      </c>
      <c r="G66" s="90">
        <f>(E66* F66)</f>
        <v>0</v>
      </c>
      <c r="H66" s="94"/>
    </row>
    <row r="67" spans="1:8">
      <c r="A67" s="140">
        <v>3</v>
      </c>
      <c r="B67" s="118" t="s">
        <v>101</v>
      </c>
      <c r="C67" s="81"/>
      <c r="D67" s="119" t="s">
        <v>77</v>
      </c>
      <c r="E67" s="90">
        <v>0</v>
      </c>
      <c r="F67" s="92">
        <v>1</v>
      </c>
      <c r="G67" s="90">
        <f>(E67* F67)</f>
        <v>0</v>
      </c>
      <c r="H67" s="94"/>
    </row>
    <row r="68" spans="1:8">
      <c r="A68" s="140">
        <v>4</v>
      </c>
      <c r="B68" s="118" t="s">
        <v>102</v>
      </c>
      <c r="C68" s="81"/>
      <c r="D68" s="119" t="s">
        <v>77</v>
      </c>
      <c r="E68" s="90">
        <v>7.85</v>
      </c>
      <c r="F68" s="92">
        <v>1</v>
      </c>
      <c r="G68" s="90">
        <f>(E68* F68)</f>
        <v>7.85</v>
      </c>
      <c r="H68" s="94"/>
    </row>
    <row r="69" spans="1:8">
      <c r="A69" s="140">
        <v>5</v>
      </c>
      <c r="B69" s="118" t="s">
        <v>103</v>
      </c>
      <c r="C69" s="81"/>
      <c r="D69" s="119" t="s">
        <v>77</v>
      </c>
      <c r="E69" s="90">
        <v>7.49</v>
      </c>
      <c r="F69" s="92">
        <v>1</v>
      </c>
      <c r="G69" s="90">
        <f>(E69* F69)</f>
        <v>7.49</v>
      </c>
      <c r="H69" s="94"/>
    </row>
    <row r="70" spans="1:8">
      <c r="A70" s="140">
        <v>6</v>
      </c>
      <c r="B70" s="118" t="s">
        <v>104</v>
      </c>
      <c r="C70" s="81"/>
      <c r="D70" s="119" t="s">
        <v>77</v>
      </c>
      <c r="E70" s="90">
        <v>9.43</v>
      </c>
      <c r="F70" s="92">
        <v>1</v>
      </c>
      <c r="G70" s="90">
        <f>(E70* F70)</f>
        <v>9.43</v>
      </c>
      <c r="H70" s="94"/>
    </row>
    <row r="71" spans="1:8">
      <c r="A71" s="140">
        <v>7</v>
      </c>
      <c r="B71" s="118" t="s">
        <v>105</v>
      </c>
      <c r="C71" s="81"/>
      <c r="D71" s="119" t="s">
        <v>77</v>
      </c>
      <c r="E71" s="90">
        <v>0</v>
      </c>
      <c r="F71" s="92">
        <v>1</v>
      </c>
      <c r="G71" s="90">
        <f>(E71* F71)</f>
        <v>0</v>
      </c>
      <c r="H71" s="94"/>
    </row>
    <row r="72" spans="1:8">
      <c r="A72" s="140">
        <v>8</v>
      </c>
      <c r="B72" s="118" t="s">
        <v>106</v>
      </c>
      <c r="C72" s="81"/>
      <c r="D72" s="119" t="s">
        <v>77</v>
      </c>
      <c r="E72" s="90">
        <v>0</v>
      </c>
      <c r="F72" s="92">
        <v>1</v>
      </c>
      <c r="G72" s="90">
        <f>(E72* F72)</f>
        <v>0</v>
      </c>
      <c r="H72" s="94"/>
    </row>
    <row r="73" spans="1:8" ht="15.75" thickBot="1">
      <c r="A73" s="140">
        <v>9</v>
      </c>
      <c r="B73" s="120" t="s">
        <v>107</v>
      </c>
      <c r="C73" s="87"/>
      <c r="D73" s="121" t="s">
        <v>77</v>
      </c>
      <c r="E73" s="91">
        <v>7.86</v>
      </c>
      <c r="F73" s="93">
        <v>1</v>
      </c>
      <c r="G73" s="91">
        <f>(E73* F73)</f>
        <v>7.86</v>
      </c>
      <c r="H73" s="95"/>
    </row>
    <row r="74" spans="1:8" ht="15.75" thickTop="1">
      <c r="A74" s="140"/>
      <c r="B74" s="58" t="s">
        <v>91</v>
      </c>
      <c r="C74" s="2"/>
      <c r="D74" s="59"/>
      <c r="E74" s="49"/>
      <c r="F74" s="49"/>
      <c r="G74" s="122">
        <f>SUM(G65:G73)</f>
        <v>32.630000000000003</v>
      </c>
      <c r="H74" s="101">
        <f>SUM(H65:H73)</f>
        <v>0</v>
      </c>
    </row>
    <row r="75" spans="1:8">
      <c r="A75" s="140"/>
      <c r="B75" s="60" t="s">
        <v>98</v>
      </c>
      <c r="C75" s="30"/>
      <c r="D75" s="61"/>
      <c r="E75" s="96"/>
      <c r="F75" s="96"/>
      <c r="G75" s="99">
        <v>0</v>
      </c>
      <c r="H75" s="99">
        <f>SUM(H65:H73)</f>
        <v>0</v>
      </c>
    </row>
    <row r="76" spans="1:8" ht="15.75" thickBot="1">
      <c r="A76" s="140"/>
      <c r="B76" s="62" t="s">
        <v>93</v>
      </c>
      <c r="C76" s="36"/>
      <c r="D76" s="37"/>
      <c r="E76" s="97"/>
      <c r="F76" s="97"/>
      <c r="G76" s="100">
        <f>(G74* G75)</f>
        <v>0</v>
      </c>
      <c r="H76" s="100">
        <f>(H74* H75)</f>
        <v>0</v>
      </c>
    </row>
    <row r="77" spans="1:8" ht="15.75" thickTop="1">
      <c r="A77" s="140"/>
      <c r="B77" s="58" t="s">
        <v>94</v>
      </c>
      <c r="C77" s="2"/>
      <c r="D77" s="59"/>
      <c r="E77" s="49"/>
      <c r="F77" s="49"/>
      <c r="G77" s="123">
        <v>0</v>
      </c>
      <c r="H77" s="101">
        <f>(H75* H76)</f>
        <v>0</v>
      </c>
    </row>
    <row r="78" spans="1:8" ht="15.75" thickBot="1">
      <c r="A78" s="140"/>
      <c r="B78" s="62" t="s">
        <v>95</v>
      </c>
      <c r="C78" s="36"/>
      <c r="D78" s="37"/>
      <c r="E78" s="97"/>
      <c r="F78" s="97"/>
      <c r="G78" s="100">
        <f>(G76* G77)</f>
        <v>0</v>
      </c>
      <c r="H78" s="100">
        <f>(H76/100 * H77)</f>
        <v>0</v>
      </c>
    </row>
    <row r="79" spans="1:8" ht="16.5" thickTop="1" thickBot="1">
      <c r="A79" s="140"/>
      <c r="B79" s="103" t="s">
        <v>96</v>
      </c>
      <c r="C79" s="28"/>
      <c r="D79" s="29"/>
      <c r="E79" s="104"/>
      <c r="F79" s="105"/>
      <c r="G79" s="124">
        <f>(G76+ G78)</f>
        <v>0</v>
      </c>
      <c r="H79" s="106">
        <f>(H76+ H78)</f>
        <v>0</v>
      </c>
    </row>
    <row r="80" spans="1:8" ht="16.5" thickTop="1" thickBot="1">
      <c r="A80" s="140"/>
      <c r="B80" s="69" t="s">
        <v>108</v>
      </c>
      <c r="C80" s="70"/>
      <c r="D80" s="71"/>
      <c r="E80" s="74" t="s">
        <v>70</v>
      </c>
      <c r="F80" s="75"/>
      <c r="G80" s="76"/>
      <c r="H80" s="77" t="s">
        <v>71</v>
      </c>
    </row>
    <row r="81" spans="1:8" ht="16.5" thickTop="1" thickBot="1">
      <c r="A81" s="140"/>
      <c r="B81" s="78" t="s">
        <v>72</v>
      </c>
      <c r="C81" s="78"/>
      <c r="D81" s="78"/>
      <c r="E81" s="79" t="s">
        <v>73</v>
      </c>
      <c r="F81" s="80" t="s">
        <v>74</v>
      </c>
      <c r="G81" s="80" t="s">
        <v>75</v>
      </c>
      <c r="H81" s="79" t="s">
        <v>73</v>
      </c>
    </row>
    <row r="82" spans="1:8" ht="16.5" thickTop="1" thickBot="1">
      <c r="A82" s="140">
        <v>2</v>
      </c>
      <c r="B82" s="125" t="s">
        <v>109</v>
      </c>
      <c r="C82" s="70"/>
      <c r="D82" s="126" t="s">
        <v>77</v>
      </c>
      <c r="E82" s="57">
        <v>4.2</v>
      </c>
      <c r="F82" s="111">
        <v>1</v>
      </c>
      <c r="G82" s="57">
        <f>(E82* F82)</f>
        <v>4.2</v>
      </c>
      <c r="H82" s="104"/>
    </row>
    <row r="83" spans="1:8" ht="15.75" thickTop="1">
      <c r="A83" s="140"/>
      <c r="B83" s="58" t="s">
        <v>91</v>
      </c>
      <c r="C83" s="2"/>
      <c r="D83" s="59"/>
      <c r="E83" s="49"/>
      <c r="F83" s="49"/>
      <c r="G83" s="98">
        <f>SUM(G82:G82)</f>
        <v>4.2</v>
      </c>
      <c r="H83" s="101">
        <f>SUM(H82:H82)</f>
        <v>0</v>
      </c>
    </row>
    <row r="84" spans="1:8">
      <c r="A84" s="140"/>
      <c r="B84" s="60" t="s">
        <v>110</v>
      </c>
      <c r="C84" s="30"/>
      <c r="D84" s="61"/>
      <c r="E84" s="96"/>
      <c r="F84" s="96"/>
      <c r="G84" s="99">
        <v>0.11716666666666667</v>
      </c>
      <c r="H84" s="99">
        <f>SUM(H82:H82)</f>
        <v>0</v>
      </c>
    </row>
    <row r="85" spans="1:8" ht="15.75" thickBot="1">
      <c r="A85" s="140"/>
      <c r="B85" s="62" t="s">
        <v>93</v>
      </c>
      <c r="C85" s="36"/>
      <c r="D85" s="37"/>
      <c r="E85" s="97"/>
      <c r="F85" s="97"/>
      <c r="G85" s="100">
        <f>(G83* G84)</f>
        <v>0.49210000000000004</v>
      </c>
      <c r="H85" s="100">
        <f>(H83* H84)</f>
        <v>0</v>
      </c>
    </row>
    <row r="86" spans="1:8" ht="15.75" thickTop="1">
      <c r="A86" s="140"/>
      <c r="B86" s="58" t="s">
        <v>94</v>
      </c>
      <c r="C86" s="2"/>
      <c r="D86" s="59"/>
      <c r="E86" s="49"/>
      <c r="F86" s="49"/>
      <c r="G86" s="102">
        <v>13.09</v>
      </c>
      <c r="H86" s="101">
        <f>(H84* H85)</f>
        <v>0</v>
      </c>
    </row>
    <row r="87" spans="1:8" ht="15.75" thickBot="1">
      <c r="A87" s="140"/>
      <c r="B87" s="62" t="s">
        <v>95</v>
      </c>
      <c r="C87" s="36"/>
      <c r="D87" s="37"/>
      <c r="E87" s="97"/>
      <c r="F87" s="97"/>
      <c r="G87" s="100">
        <f>(G85* G86)</f>
        <v>6.4415890000000005</v>
      </c>
      <c r="H87" s="100">
        <f>(H85/100 * H86)</f>
        <v>0</v>
      </c>
    </row>
    <row r="88" spans="1:8" ht="16.5" thickTop="1" thickBot="1">
      <c r="A88" s="140"/>
      <c r="B88" s="103" t="s">
        <v>96</v>
      </c>
      <c r="C88" s="28"/>
      <c r="D88" s="29"/>
      <c r="E88" s="104"/>
      <c r="F88" s="105"/>
      <c r="G88" s="107">
        <f>(G85+ G87)</f>
        <v>6.9336890000000002</v>
      </c>
      <c r="H88" s="106">
        <f>(H85+ H87)</f>
        <v>0</v>
      </c>
    </row>
    <row r="89" spans="1:8" ht="16.5" thickTop="1" thickBot="1">
      <c r="A89" s="140"/>
      <c r="B89" s="69" t="s">
        <v>108</v>
      </c>
      <c r="C89" s="70"/>
      <c r="D89" s="71"/>
      <c r="E89" s="74" t="s">
        <v>70</v>
      </c>
      <c r="F89" s="75"/>
      <c r="G89" s="76"/>
      <c r="H89" s="77" t="s">
        <v>71</v>
      </c>
    </row>
    <row r="90" spans="1:8" ht="16.5" thickTop="1" thickBot="1">
      <c r="A90" s="140"/>
      <c r="B90" s="78" t="s">
        <v>72</v>
      </c>
      <c r="C90" s="78"/>
      <c r="D90" s="78"/>
      <c r="E90" s="79" t="s">
        <v>73</v>
      </c>
      <c r="F90" s="80" t="s">
        <v>74</v>
      </c>
      <c r="G90" s="80" t="s">
        <v>75</v>
      </c>
      <c r="H90" s="79" t="s">
        <v>73</v>
      </c>
    </row>
    <row r="91" spans="1:8" ht="16.5" thickTop="1" thickBot="1">
      <c r="A91" s="140">
        <v>2</v>
      </c>
      <c r="B91" s="109" t="s">
        <v>109</v>
      </c>
      <c r="C91" s="70"/>
      <c r="D91" s="110" t="s">
        <v>77</v>
      </c>
      <c r="E91" s="57">
        <v>4.2</v>
      </c>
      <c r="F91" s="111">
        <v>1</v>
      </c>
      <c r="G91" s="57">
        <f>(E91* F91)</f>
        <v>4.2</v>
      </c>
      <c r="H91" s="104"/>
    </row>
    <row r="92" spans="1:8" ht="15.75" thickTop="1">
      <c r="A92" s="140"/>
      <c r="B92" s="58" t="s">
        <v>91</v>
      </c>
      <c r="C92" s="2"/>
      <c r="D92" s="59"/>
      <c r="E92" s="49"/>
      <c r="F92" s="49"/>
      <c r="G92" s="112">
        <f>SUM(G91:G91)</f>
        <v>4.2</v>
      </c>
      <c r="H92" s="101">
        <f>SUM(H91:H91)</f>
        <v>0</v>
      </c>
    </row>
    <row r="93" spans="1:8">
      <c r="A93" s="140"/>
      <c r="B93" s="60" t="s">
        <v>110</v>
      </c>
      <c r="C93" s="30"/>
      <c r="D93" s="61"/>
      <c r="E93" s="96"/>
      <c r="F93" s="96"/>
      <c r="G93" s="99">
        <v>0.11716666666666667</v>
      </c>
      <c r="H93" s="99">
        <f>SUM(H91:H91)</f>
        <v>0</v>
      </c>
    </row>
    <row r="94" spans="1:8" ht="15.75" thickBot="1">
      <c r="A94" s="140"/>
      <c r="B94" s="62" t="s">
        <v>93</v>
      </c>
      <c r="C94" s="36"/>
      <c r="D94" s="37"/>
      <c r="E94" s="97"/>
      <c r="F94" s="97"/>
      <c r="G94" s="100">
        <f>(G92* G93)</f>
        <v>0.49210000000000004</v>
      </c>
      <c r="H94" s="100">
        <f>(H92* H93)</f>
        <v>0</v>
      </c>
    </row>
    <row r="95" spans="1:8" ht="15.75" thickTop="1">
      <c r="A95" s="140"/>
      <c r="B95" s="58" t="s">
        <v>94</v>
      </c>
      <c r="C95" s="2"/>
      <c r="D95" s="59"/>
      <c r="E95" s="49"/>
      <c r="F95" s="49"/>
      <c r="G95" s="113">
        <v>13.09</v>
      </c>
      <c r="H95" s="101">
        <f>(H93* H94)</f>
        <v>0</v>
      </c>
    </row>
    <row r="96" spans="1:8" ht="15.75" thickBot="1">
      <c r="A96" s="140"/>
      <c r="B96" s="62" t="s">
        <v>95</v>
      </c>
      <c r="C96" s="36"/>
      <c r="D96" s="37"/>
      <c r="E96" s="97"/>
      <c r="F96" s="97"/>
      <c r="G96" s="100">
        <f>(G94* G95)</f>
        <v>6.4415890000000005</v>
      </c>
      <c r="H96" s="100">
        <f>(H94/100 * H95)</f>
        <v>0</v>
      </c>
    </row>
    <row r="97" spans="1:8" ht="16.5" thickTop="1" thickBot="1">
      <c r="A97" s="140"/>
      <c r="B97" s="103" t="s">
        <v>96</v>
      </c>
      <c r="C97" s="28"/>
      <c r="D97" s="29"/>
      <c r="E97" s="104"/>
      <c r="F97" s="105"/>
      <c r="G97" s="114">
        <f>(G94+ G96)</f>
        <v>6.9336890000000002</v>
      </c>
      <c r="H97" s="106">
        <f>(H94+ H96)</f>
        <v>0</v>
      </c>
    </row>
    <row r="98" spans="1:8" ht="17.25" thickTop="1" thickBot="1">
      <c r="A98" s="140"/>
      <c r="B98" s="103" t="s">
        <v>111</v>
      </c>
      <c r="C98" s="28"/>
      <c r="D98" s="28"/>
      <c r="E98" s="28"/>
      <c r="F98" s="28"/>
      <c r="G98" s="29"/>
      <c r="H98" s="127">
        <f>(G53+G62+G79+G88+G97)</f>
        <v>73.16683359999999</v>
      </c>
    </row>
    <row r="99" spans="1:8" ht="16.5" thickTop="1" thickBot="1">
      <c r="A99" s="140"/>
      <c r="B99" s="129" t="s">
        <v>112</v>
      </c>
      <c r="C99" s="130"/>
      <c r="D99" s="130"/>
      <c r="E99" s="130"/>
      <c r="F99" s="130"/>
      <c r="G99" s="131"/>
      <c r="H99" s="132">
        <f>(H33 + H98 )</f>
        <v>32599.576016423554</v>
      </c>
    </row>
    <row r="100" spans="1:8" ht="15.75" thickTop="1">
      <c r="A100" s="140"/>
      <c r="B100" s="58" t="s">
        <v>113</v>
      </c>
      <c r="C100" s="2"/>
      <c r="D100" s="2"/>
      <c r="E100" s="2"/>
      <c r="F100" s="2"/>
      <c r="G100" s="59"/>
      <c r="H100" s="66">
        <v>0.1895</v>
      </c>
    </row>
    <row r="101" spans="1:8" ht="15.75" thickBot="1">
      <c r="A101" s="140"/>
      <c r="B101" s="62" t="s">
        <v>114</v>
      </c>
      <c r="C101" s="36"/>
      <c r="D101" s="36"/>
      <c r="E101" s="36"/>
      <c r="F101" s="36"/>
      <c r="G101" s="37"/>
      <c r="H101" s="100">
        <f>(H99 * H100)</f>
        <v>6177.6196551122639</v>
      </c>
    </row>
    <row r="102" spans="1:8" ht="15.75" thickTop="1">
      <c r="A102" s="140"/>
      <c r="B102" s="58" t="s">
        <v>115</v>
      </c>
      <c r="C102" s="2"/>
      <c r="D102" s="2"/>
      <c r="E102" s="2"/>
      <c r="F102" s="2"/>
      <c r="G102" s="59"/>
      <c r="H102" s="66">
        <v>0.09</v>
      </c>
    </row>
    <row r="103" spans="1:8" ht="15.75" thickBot="1">
      <c r="A103" s="140"/>
      <c r="B103" s="62" t="s">
        <v>116</v>
      </c>
      <c r="C103" s="36"/>
      <c r="D103" s="36"/>
      <c r="E103" s="36"/>
      <c r="F103" s="36"/>
      <c r="G103" s="37"/>
      <c r="H103" s="100">
        <f>(H99 * H102)</f>
        <v>2933.9618414781198</v>
      </c>
    </row>
    <row r="104" spans="1:8" ht="15.75" thickTop="1">
      <c r="A104" s="140"/>
      <c r="B104" s="58" t="s">
        <v>117</v>
      </c>
      <c r="C104" s="2"/>
      <c r="D104" s="2"/>
      <c r="E104" s="2"/>
      <c r="F104" s="2"/>
      <c r="G104" s="59"/>
      <c r="H104" s="66">
        <v>4.2699999999999995E-2</v>
      </c>
    </row>
    <row r="105" spans="1:8" ht="15.75" thickBot="1">
      <c r="A105" s="140"/>
      <c r="B105" s="62" t="s">
        <v>118</v>
      </c>
      <c r="C105" s="36"/>
      <c r="D105" s="36"/>
      <c r="E105" s="36"/>
      <c r="F105" s="36"/>
      <c r="G105" s="37"/>
      <c r="H105" s="100">
        <f>(H99 * H104)</f>
        <v>1392.0018959012857</v>
      </c>
    </row>
    <row r="106" spans="1:8" ht="16.5" thickTop="1" thickBot="1">
      <c r="A106" s="140"/>
      <c r="B106" s="133" t="s">
        <v>119</v>
      </c>
      <c r="C106" s="134">
        <v>20</v>
      </c>
      <c r="D106" s="28" t="s">
        <v>120</v>
      </c>
      <c r="E106" s="28"/>
      <c r="F106" s="28"/>
      <c r="G106" s="29"/>
      <c r="H106" s="128">
        <f>100/(100-C106)</f>
        <v>1.25</v>
      </c>
    </row>
    <row r="107" spans="1:8" ht="16.5" thickTop="1" thickBot="1">
      <c r="A107" s="140"/>
      <c r="B107" s="103" t="s">
        <v>121</v>
      </c>
      <c r="C107" s="28"/>
      <c r="D107" s="28"/>
      <c r="E107" s="28"/>
      <c r="F107" s="28"/>
      <c r="G107" s="29"/>
      <c r="H107" s="128">
        <f>(H99 + H101 + H103+  H105) * H106</f>
        <v>53878.949261144036</v>
      </c>
    </row>
    <row r="108" spans="1:8" ht="16.5" thickTop="1" thickBot="1">
      <c r="A108" s="141"/>
      <c r="B108" s="43" t="s">
        <v>122</v>
      </c>
      <c r="C108" s="135">
        <v>2.6</v>
      </c>
      <c r="D108" s="136">
        <v>41375</v>
      </c>
      <c r="E108" s="137"/>
      <c r="F108" s="137"/>
      <c r="G108" s="137"/>
      <c r="H108" s="135">
        <f>H107 / C108</f>
        <v>20722.672792747704</v>
      </c>
    </row>
    <row r="109" spans="1:8" ht="15.75" thickTop="1"/>
  </sheetData>
  <mergeCells count="94">
    <mergeCell ref="B105:G105"/>
    <mergeCell ref="D106:G106"/>
    <mergeCell ref="B107:G107"/>
    <mergeCell ref="D108:G108"/>
    <mergeCell ref="B99:G99"/>
    <mergeCell ref="B100:G100"/>
    <mergeCell ref="B101:G101"/>
    <mergeCell ref="B102:G102"/>
    <mergeCell ref="B103:G103"/>
    <mergeCell ref="B104:G104"/>
    <mergeCell ref="B93:D93"/>
    <mergeCell ref="B94:D94"/>
    <mergeCell ref="B95:D95"/>
    <mergeCell ref="B96:D96"/>
    <mergeCell ref="B97:D97"/>
    <mergeCell ref="B98:G98"/>
    <mergeCell ref="B88:D88"/>
    <mergeCell ref="B89:D89"/>
    <mergeCell ref="E89:G89"/>
    <mergeCell ref="B90:D90"/>
    <mergeCell ref="B91:C91"/>
    <mergeCell ref="B92:D92"/>
    <mergeCell ref="B82:C82"/>
    <mergeCell ref="B83:D83"/>
    <mergeCell ref="B84:D84"/>
    <mergeCell ref="B85:D85"/>
    <mergeCell ref="B86:D86"/>
    <mergeCell ref="B87:D87"/>
    <mergeCell ref="B77:D77"/>
    <mergeCell ref="B78:D78"/>
    <mergeCell ref="B79:D79"/>
    <mergeCell ref="B80:D80"/>
    <mergeCell ref="E80:G80"/>
    <mergeCell ref="B81:D81"/>
    <mergeCell ref="B71:C71"/>
    <mergeCell ref="B72:C72"/>
    <mergeCell ref="B73:C73"/>
    <mergeCell ref="B74:D74"/>
    <mergeCell ref="B75:D75"/>
    <mergeCell ref="B76:D76"/>
    <mergeCell ref="B65:C65"/>
    <mergeCell ref="B66:C66"/>
    <mergeCell ref="B67:C67"/>
    <mergeCell ref="B68:C68"/>
    <mergeCell ref="B69:C69"/>
    <mergeCell ref="B70:C70"/>
    <mergeCell ref="B60:D60"/>
    <mergeCell ref="B61:D61"/>
    <mergeCell ref="B62:D62"/>
    <mergeCell ref="B63:D63"/>
    <mergeCell ref="E63:G63"/>
    <mergeCell ref="B64:D64"/>
    <mergeCell ref="E54:G54"/>
    <mergeCell ref="B55:D55"/>
    <mergeCell ref="B56:C56"/>
    <mergeCell ref="B57:D57"/>
    <mergeCell ref="B58:D58"/>
    <mergeCell ref="B59:D59"/>
    <mergeCell ref="B49:D49"/>
    <mergeCell ref="B50:D50"/>
    <mergeCell ref="B51:D51"/>
    <mergeCell ref="B52:D52"/>
    <mergeCell ref="B53:D53"/>
    <mergeCell ref="B54:D54"/>
    <mergeCell ref="B43:C43"/>
    <mergeCell ref="B44:C44"/>
    <mergeCell ref="B45:C45"/>
    <mergeCell ref="B46:C46"/>
    <mergeCell ref="B47:C47"/>
    <mergeCell ref="B48:D48"/>
    <mergeCell ref="B37:C37"/>
    <mergeCell ref="B38:C38"/>
    <mergeCell ref="B39:C39"/>
    <mergeCell ref="B40:C40"/>
    <mergeCell ref="B41:C41"/>
    <mergeCell ref="B42:C42"/>
    <mergeCell ref="B32:G32"/>
    <mergeCell ref="B33:G33"/>
    <mergeCell ref="B34:D34"/>
    <mergeCell ref="E34:G34"/>
    <mergeCell ref="B35:D35"/>
    <mergeCell ref="B36:C36"/>
    <mergeCell ref="A7:H7"/>
    <mergeCell ref="A8:A9"/>
    <mergeCell ref="B28:G28"/>
    <mergeCell ref="B29:G29"/>
    <mergeCell ref="B30:G30"/>
    <mergeCell ref="B31:G31"/>
    <mergeCell ref="A1:B1"/>
    <mergeCell ref="A2:B2"/>
    <mergeCell ref="A3:B3"/>
    <mergeCell ref="A4:H4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 PN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2013-04-23T13:38:05Z</dcterms:created>
  <dcterms:modified xsi:type="dcterms:W3CDTF">2013-04-23T13:39:37Z</dcterms:modified>
</cp:coreProperties>
</file>